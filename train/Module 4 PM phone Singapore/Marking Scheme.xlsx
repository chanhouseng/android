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keeliren/Library/CloudStorage/GoogleDrive-keeliren@gmail.com/My Drive/Work/Worldskills/WS_workspace/Scenario/International Round/Japan Friendly/"/>
    </mc:Choice>
  </mc:AlternateContent>
  <xr:revisionPtr revIDLastSave="0" documentId="13_ncr:1_{D9C84A82-CAD3-5446-891A-52C0C1136F5B}" xr6:coauthVersionLast="47" xr6:coauthVersionMax="47" xr10:uidLastSave="{00000000-0000-0000-0000-000000000000}"/>
  <bookViews>
    <workbookView xWindow="0" yWindow="880" windowWidth="41120" windowHeight="24500" xr2:uid="{00000000-000D-0000-FFFF-FFFF00000000}"/>
  </bookViews>
  <sheets>
    <sheet name="CIS Marking Scheme Import" sheetId="1" r:id="rId1"/>
    <sheet name="Calculations" sheetId="6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1" l="1"/>
  <c r="N73" i="1"/>
  <c r="N70" i="1"/>
  <c r="N67" i="1"/>
  <c r="N64" i="1"/>
  <c r="N61" i="1"/>
  <c r="N58" i="1"/>
  <c r="N55" i="1"/>
  <c r="N28" i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N81" i="1" l="1"/>
  <c r="K12" i="1"/>
</calcChain>
</file>

<file path=xl/sharedStrings.xml><?xml version="1.0" encoding="utf-8"?>
<sst xmlns="http://schemas.openxmlformats.org/spreadsheetml/2006/main" count="455" uniqueCount="98">
  <si>
    <t>08 Mobile Applications Development</t>
  </si>
  <si>
    <t>WorldSkills Occupational Standards</t>
  </si>
  <si>
    <t>Section</t>
  </si>
  <si>
    <t>WSOS Marks</t>
  </si>
  <si>
    <t>Aspect Marks</t>
  </si>
  <si>
    <t>Variation</t>
  </si>
  <si>
    <t xml:space="preserve">Work organization and management  </t>
  </si>
  <si>
    <t xml:space="preserve">Communication and interpersonal skills  </t>
  </si>
  <si>
    <t xml:space="preserve">Sustainable Practice  </t>
  </si>
  <si>
    <t>Initial planning, design, and test framework</t>
  </si>
  <si>
    <t>Systems architecture planning</t>
  </si>
  <si>
    <t>Implementation and product development</t>
  </si>
  <si>
    <t>Final product tests, troubleshooting, and optimization</t>
  </si>
  <si>
    <t>Total Variation</t>
  </si>
  <si>
    <t>Criteria</t>
  </si>
  <si>
    <t>ID</t>
  </si>
  <si>
    <t>Name</t>
  </si>
  <si>
    <t>Mark</t>
  </si>
  <si>
    <t>A</t>
  </si>
  <si>
    <t>Functionality</t>
  </si>
  <si>
    <t>B</t>
  </si>
  <si>
    <t>Design</t>
  </si>
  <si>
    <t>C</t>
  </si>
  <si>
    <t>Implement</t>
  </si>
  <si>
    <t>D</t>
  </si>
  <si>
    <t>Development and Testing</t>
  </si>
  <si>
    <t>E</t>
  </si>
  <si>
    <t>F</t>
  </si>
  <si>
    <t>G</t>
  </si>
  <si>
    <t>H</t>
  </si>
  <si>
    <t>I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</si>
  <si>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</si>
  <si>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</si>
  <si>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</si>
  <si>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</si>
  <si>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</si>
  <si>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</si>
  <si>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</si>
  <si>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</si>
  <si>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</si>
  <si>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</si>
  <si>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</si>
  <si>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A</t>
  </si>
  <si>
    <t>Total
Mark</t>
  </si>
  <si>
    <t>A1</t>
  </si>
  <si>
    <r>
      <rPr>
        <sz val="10"/>
        <rFont val="宋体-简"/>
        <family val="1"/>
        <charset val="134"/>
      </rPr>
      <t xml:space="preserve">Module A </t>
    </r>
    <r>
      <rPr>
        <sz val="10"/>
        <rFont val="Arial"/>
        <family val="2"/>
      </rPr>
      <t>AM</t>
    </r>
  </si>
  <si>
    <t>1</t>
  </si>
  <si>
    <t/>
  </si>
  <si>
    <t>M</t>
  </si>
  <si>
    <t>Instructions to the Competitor</t>
  </si>
  <si>
    <t>Push the project to the Git server promptly</t>
  </si>
  <si>
    <t>Save the project to a correct folder</t>
  </si>
  <si>
    <t>The naming of the App is correct</t>
  </si>
  <si>
    <t xml:space="preserve">Home page elements include </t>
  </si>
  <si>
    <t>Home page functional requirements</t>
  </si>
  <si>
    <t xml:space="preserve">Game Pause page elements include </t>
  </si>
  <si>
    <t>Game Pause page functional requirements</t>
  </si>
  <si>
    <t xml:space="preserve">Rankings page elements include </t>
  </si>
  <si>
    <t>Rankings page functional requirements</t>
  </si>
  <si>
    <t>J</t>
  </si>
  <si>
    <t>App Usability and User Experience</t>
  </si>
  <si>
    <t xml:space="preserve"> The app is not functioning properly.</t>
  </si>
  <si>
    <t xml:space="preserve"> The app interface is clear and concise, but there are missing functionalities in the pages and the operation process is incomplete.</t>
  </si>
  <si>
    <t xml:space="preserve"> The app interface is clear and easy to identify, satisfying basic usage needs.</t>
  </si>
  <si>
    <t xml:space="preserve"> The app interface is concise and intuitive, with smooth operation and running. New users can adapt immediately without additional learning.</t>
  </si>
  <si>
    <t>A2</t>
  </si>
  <si>
    <r>
      <rPr>
        <sz val="10"/>
        <rFont val="宋体-简"/>
        <family val="1"/>
        <charset val="134"/>
      </rPr>
      <t xml:space="preserve">Module A </t>
    </r>
    <r>
      <rPr>
        <sz val="10"/>
        <rFont val="Arial"/>
        <family val="2"/>
      </rPr>
      <t>PM</t>
    </r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</si>
  <si>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</si>
  <si>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</si>
  <si>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</si>
  <si>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</si>
  <si>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</si>
  <si>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</si>
  <si>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</si>
  <si>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</si>
  <si>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Competition</t>
  </si>
  <si>
    <t xml:space="preserve">Player name page elements include </t>
  </si>
  <si>
    <t>Player name functional requirements</t>
  </si>
  <si>
    <t xml:space="preserve">Game Start page elements include </t>
  </si>
  <si>
    <t>Game Start page functional requirements</t>
  </si>
  <si>
    <t xml:space="preserve">Game Play page elements include </t>
  </si>
  <si>
    <t>Game Play page functional requirements</t>
  </si>
  <si>
    <t>Game End page elements include</t>
  </si>
  <si>
    <t>Game End page functional requirements</t>
  </si>
  <si>
    <t xml:space="preserve"> - Title "Player Name’ [0.1]
 - Text box for user to key in name [0.1]
 - Character count[0.1]
 - “LET’S GO” button [0.1]</t>
  </si>
  <si>
    <t xml:space="preserve"> - Display “Enter user name here” when the textbox is empty. [0.1]
 - Allows user to key in name, with a maximum of 8 characters.[0.1]
 - Character count decrease and increase according to user input.[0.1]
 - Rankings screen to be partially covered and shadowed over.[0.1]
 - Taping on “LET’S GO” button will start the game play.[0.1]</t>
  </si>
  <si>
    <t xml:space="preserve"> - Title "Rankings’ [0.1]
 - 3 columns [0.1]
   - “Ranking” 
      - Displays “1”,”2”,”3”
   - “Name” [0.1]
      - Display user’s name
   - “Time” [0.1]
      - Format: mm:ss.sss
   - “Start a new game to join the ranks” text. [0.1]
   - Static image. [0.1]
   - Start game button [0.1]</t>
  </si>
  <si>
    <t xml:space="preserve"> - Title "Player Name’ [0.1]
 - Text box for user to key in name [0.1]
 - Character count [0.1]
 - “LET’S GO” button [0.1]</t>
  </si>
  <si>
    <t xml:space="preserve"> - Display “Enter user name here” when the textbox is empty. [0.1]
 - Allows user to key in name, with a maximum of 8 characters. [0.1]
 - Character count decrease and increase according to user input. [0.1]
 - Rankings screen to be partially covered and shadowed over.[0.1]
 - Taping on “LET’S GO” button will start the game play.[0.1]</t>
  </si>
  <si>
    <t xml:space="preserve"> - Player’s name. [0.1]
 - 3 x 3 set of “?” [0.1]
 - Start button [0.1]
 - Exit game option[0.1]</t>
  </si>
  <si>
    <t>- “?” cards will remain until user taps on “START” button. [0.1]
- Tapping Exit game will navigate user back to leaderboard screen.[0.1]
- Tapping Start button will Start the game.[0.1]</t>
  </si>
  <si>
    <t xml:space="preserve"> - Player’s name [0.1]
 - 3 x 3 cards [0.1]
 - Game panel [0.1]
    - Timer icon [0.1]
    - Pairs found icon [0.1]
    - Timer [0.1]
       - Format mm:ss.sss
 - “GIVE UP” button [0.1]</t>
  </si>
  <si>
    <t>- Title text. 
  - Giving up?” [0.1]
  - “Game interrupted” [0.1]
 - Message text
  - “You have matched” [0.1]
  - “Ready to resume” [0.1]
 - Number of pairs matched text [Only for Give up screen]. [0.1]
 - Static image. [0.1 for each correct image]
 - “YES” button [Give up page ONLY] [0.1]
 - “NO” button [Give up page ONLY][0.1]
 - “RESUME” button [Ready to resume page ONLY][0.1]
 - “REMATCH” button [Give up and Ready to resume page”[0.1]</t>
  </si>
  <si>
    <t xml:space="preserve"> - Game pause screens will display to the user in two occasions:
     - Toggle of “Give up” button during game play. [0.1]
     - User is navigated away from the application by other applications, e.g. phone call, during game play. [0.1]
 - In the “Give up screen”, 
     - Number of pairs matched text will display how many pairs the user has found out of the 4 pairs given. [0.1]
       -  e.g. 1/4, 2/4, 3/4
 - Tapping on “YES” will navigate user to Leaderboard. [0.1]
 - Taping on “REMATCH” will navigate user to the start of a new game. [0.1]
 - Tapping on “NO” will resume game. [0.1]
 - Game screen to be partially covered and shadowed over.[0.1]</t>
  </si>
  <si>
    <t xml:space="preserve"> - Title text.
    - “Times up!” [0.1]
    - “Congrats”[0.1]
 - Message text
    - “You only matched”[0.1]
    - “You matched all”[0.1]
 - Number of pairs matched text [“Only for Time is up” page].[0.1]
 - Time taken text [Only for “Completed” page].[0.1]
 - Static image. [0.2][0.1 for each correct image]
 - “OK” button. [0.1]
 - “REMATCH” button[0.1]</t>
  </si>
  <si>
    <t xml:space="preserve"> - Game end screens will display to the user in two occasions:
   - Expiration of time. [0.1]
   - User completed matching.[0.1]
 - In the “Time is up screen”, 
    - Number of pairs matched text will display how many pairs the user has found out of the 4 pairs given. [0.1]
        - e.g. 1/4, 2/4, 3/4
 - Tapping on “OK” will navigate user to Leaderboard. [0.1]
 - Taping on “REMATCH” will navigate user to the start of a new game. [0.1]
 - Screen expires in 2 seconds and navigates user to Leaderboard. [0.1]
 - Game screen to be partially covered and shadowed over. [0.1]</t>
  </si>
  <si>
    <t xml:space="preserve"> - Displays the fastest 3 that played the game on this device. [0.1]
 - Ranking is sorted in ascending order.[0.1]
 - New entry will have an animated display.[0.1]
 - “Start a new game to join the ranks!” to display when there is no past completed game.[0.1]
 - “Start” will navigate user to “Player Name” page to.[0.1]
 - Scores will persist until the application is either uninstalled or user performs data purge.[0.3]</t>
  </si>
  <si>
    <t xml:space="preserve"> - Game panel will slide up when user navigates into this page. [0.1]
 - Timer starts and updates the timer text until the game expires. [0.1]
 - 9 cards should consist of 4 pairs of cards and 1 random extra card. [0.1]
 - Positions of cards should be random and different from previous game. [0.2]
 - Only two cards can be selected at each attempt. [0.2]
      - Matched pair will remain open.
       - Unmatched pair will close the cards opened during the attempt.
 - Game expires when it exceeds the last timing in leader board. User will be navigated to “Time is up screen” page. [0.2]
 - If no time exists, the game will not expire. [0.1]
 - Tapping the “GIVE UP” button will navigate the user to the “Give up screen”. [0.1]
 - Shaking the device will trigger the “GIVE UP” button. [0.3]
 - When the user navigates away during the game, the game will be paused and display “Ready to resume screen” when the user navigates back to the application. [0.2]
 - Successful matching all pairs before the time expires will navigate user to “Completed screen”. [0.4]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</si>
</sst>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Arial"/>
      <charset val="134"/>
    </font>
    <font>
      <sz val="18"/>
      <color indexed="9"/>
      <name val="Arial"/>
      <family val="2"/>
    </font>
    <font>
      <sz val="10"/>
      <name val="Arial"/>
      <family val="2"/>
    </font>
    <font>
      <sz val="16"/>
      <color indexed="9"/>
      <name val="Arial"/>
      <family val="2"/>
    </font>
    <font>
      <sz val="10"/>
      <color indexed="9"/>
      <name val="Arial"/>
      <family val="2"/>
    </font>
    <font>
      <sz val="10"/>
      <color rgb="FFFFFFFF"/>
      <name val="Arial"/>
      <family val="2"/>
    </font>
    <font>
      <sz val="10"/>
      <name val="宋体-简"/>
      <family val="1"/>
      <charset val="134"/>
    </font>
    <font>
      <sz val="10"/>
      <color rgb="FF92D050"/>
      <name val="Arial"/>
      <family val="2"/>
    </font>
    <font>
      <sz val="10"/>
      <color rgb="FF000000"/>
      <name val="宋体-简"/>
      <family val="1"/>
      <charset val="134"/>
    </font>
    <font>
      <sz val="16"/>
      <name val="Arial"/>
      <family val="2"/>
    </font>
    <font>
      <sz val="10"/>
      <color rgb="FF000000"/>
      <name val="Arial"/>
      <family val="2"/>
    </font>
    <font>
      <sz val="16"/>
      <color indexed="8"/>
      <name val="Arial"/>
      <family val="2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/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topLeftCell="B43" zoomScale="117" zoomScaleNormal="111" workbookViewId="0">
      <selection activeCell="K43" sqref="K43"/>
    </sheetView>
  </sheetViews>
  <sheetFormatPr baseColWidth="10" defaultColWidth="8.83203125" defaultRowHeight="13"/>
  <cols>
    <col min="1" max="1" width="7.6640625" style="1" customWidth="1"/>
    <col min="2" max="2" width="39" style="1" customWidth="1"/>
    <col min="3" max="3" width="7.83203125" style="1" customWidth="1"/>
    <col min="4" max="4" width="8.5" style="1" customWidth="1"/>
    <col min="5" max="5" width="48.33203125" style="1" customWidth="1"/>
    <col min="6" max="6" width="8" style="1" customWidth="1"/>
    <col min="7" max="7" width="73.1640625" style="1" customWidth="1"/>
    <col min="8" max="8" width="15.5" style="1" customWidth="1"/>
    <col min="9" max="9" width="11.33203125" style="1" customWidth="1"/>
    <col min="10" max="10" width="11" style="1" customWidth="1"/>
    <col min="11" max="11" width="10.6640625" style="1" customWidth="1"/>
    <col min="12" max="12" width="18.5" style="1" customWidth="1"/>
    <col min="13" max="13" width="8.83203125" style="1" customWidth="1"/>
    <col min="14" max="14" width="10.6640625" style="1" customWidth="1"/>
    <col min="15" max="15" width="8.83203125" style="1" customWidth="1"/>
    <col min="16" max="16384" width="8.83203125" style="1"/>
  </cols>
  <sheetData>
    <row r="1" spans="1:11" ht="49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6" customHeight="1">
      <c r="C2" s="2"/>
      <c r="E2" s="2"/>
      <c r="J2" s="2"/>
    </row>
    <row r="3" spans="1:11" ht="35" customHeight="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35" customHeight="1">
      <c r="A4" s="3" t="s">
        <v>2</v>
      </c>
      <c r="B4" s="24" t="s">
        <v>3</v>
      </c>
      <c r="C4" s="24"/>
      <c r="D4" s="24"/>
      <c r="E4" s="24"/>
      <c r="F4" s="24"/>
      <c r="G4" s="24"/>
      <c r="H4" s="24"/>
      <c r="I4" s="4" t="s">
        <v>3</v>
      </c>
      <c r="J4" s="4" t="s">
        <v>4</v>
      </c>
      <c r="K4" s="4" t="s">
        <v>5</v>
      </c>
    </row>
    <row r="5" spans="1:11" ht="25" customHeight="1">
      <c r="A5" s="2">
        <v>1</v>
      </c>
      <c r="B5" s="25" t="s">
        <v>6</v>
      </c>
      <c r="C5" s="26"/>
      <c r="D5" s="26"/>
      <c r="E5" s="26"/>
      <c r="F5" s="26"/>
      <c r="G5" s="26"/>
      <c r="H5" s="26"/>
      <c r="I5" s="14">
        <v>8</v>
      </c>
      <c r="J5" s="14">
        <f>SUMIF(I29:I80,A5,K29:K80)</f>
        <v>1.1000000000000001</v>
      </c>
      <c r="K5" s="14">
        <f t="shared" ref="K5:K11" si="0">ABS(I5-J5)</f>
        <v>6.9</v>
      </c>
    </row>
    <row r="6" spans="1:11" ht="25" customHeight="1">
      <c r="A6" s="2">
        <v>2</v>
      </c>
      <c r="B6" s="25" t="s">
        <v>7</v>
      </c>
      <c r="C6" s="26"/>
      <c r="D6" s="26"/>
      <c r="E6" s="26"/>
      <c r="F6" s="26"/>
      <c r="G6" s="26"/>
      <c r="H6" s="26"/>
      <c r="I6" s="14">
        <v>7</v>
      </c>
      <c r="J6" s="14">
        <f>SUMIF(I29:I80,A6,K29:K80)</f>
        <v>1</v>
      </c>
      <c r="K6" s="14">
        <f t="shared" si="0"/>
        <v>6</v>
      </c>
    </row>
    <row r="7" spans="1:11" ht="25" customHeight="1">
      <c r="A7" s="2">
        <v>3</v>
      </c>
      <c r="B7" s="25" t="s">
        <v>8</v>
      </c>
      <c r="C7" s="26"/>
      <c r="D7" s="26"/>
      <c r="E7" s="26"/>
      <c r="F7" s="26"/>
      <c r="G7" s="26"/>
      <c r="H7" s="26"/>
      <c r="I7" s="14">
        <v>5</v>
      </c>
      <c r="J7" s="14">
        <f>SUMIF(I29:I80,A7,K29:K80)</f>
        <v>0.7</v>
      </c>
      <c r="K7" s="14">
        <f t="shared" si="0"/>
        <v>4.3</v>
      </c>
    </row>
    <row r="8" spans="1:11" ht="25" customHeight="1">
      <c r="A8" s="2">
        <v>4</v>
      </c>
      <c r="B8" s="25" t="s">
        <v>9</v>
      </c>
      <c r="C8" s="26"/>
      <c r="D8" s="26"/>
      <c r="E8" s="26"/>
      <c r="F8" s="26"/>
      <c r="G8" s="26"/>
      <c r="H8" s="26"/>
      <c r="I8" s="14">
        <v>25</v>
      </c>
      <c r="J8" s="14">
        <f>SUMIF(I29:I80,A8,K29:K80)</f>
        <v>5.6999999999999993</v>
      </c>
      <c r="K8" s="14">
        <f t="shared" si="0"/>
        <v>19.3</v>
      </c>
    </row>
    <row r="9" spans="1:11" ht="25" customHeight="1">
      <c r="A9" s="2">
        <v>5</v>
      </c>
      <c r="B9" s="25" t="s">
        <v>10</v>
      </c>
      <c r="C9" s="26"/>
      <c r="D9" s="26"/>
      <c r="E9" s="26"/>
      <c r="F9" s="26"/>
      <c r="G9" s="26"/>
      <c r="H9" s="26"/>
      <c r="I9" s="14">
        <v>15</v>
      </c>
      <c r="J9" s="14">
        <f>SUMIF(I29:I80,A9,K29:K80)</f>
        <v>2.2000000000000002</v>
      </c>
      <c r="K9" s="14">
        <f t="shared" si="0"/>
        <v>12.8</v>
      </c>
    </row>
    <row r="10" spans="1:11" ht="25" customHeight="1">
      <c r="A10" s="2">
        <v>6</v>
      </c>
      <c r="B10" s="27" t="s">
        <v>11</v>
      </c>
      <c r="C10" s="28"/>
      <c r="D10" s="28"/>
      <c r="E10" s="28"/>
      <c r="F10" s="28"/>
      <c r="G10" s="28"/>
      <c r="H10" s="29"/>
      <c r="I10" s="14">
        <v>30</v>
      </c>
      <c r="J10" s="14">
        <f>SUMIF(I29:I80,A10,K29:K80)</f>
        <v>3.6</v>
      </c>
      <c r="K10" s="14">
        <f t="shared" si="0"/>
        <v>26.4</v>
      </c>
    </row>
    <row r="11" spans="1:11" ht="25" customHeight="1">
      <c r="A11" s="2">
        <v>7</v>
      </c>
      <c r="B11" s="25" t="s">
        <v>12</v>
      </c>
      <c r="C11" s="26"/>
      <c r="D11" s="26"/>
      <c r="E11" s="26"/>
      <c r="F11" s="26"/>
      <c r="G11" s="26"/>
      <c r="H11" s="26"/>
      <c r="I11" s="14">
        <v>10</v>
      </c>
      <c r="J11" s="14">
        <f>SUMIF(I29:I80,A11,K29:K80)</f>
        <v>0</v>
      </c>
      <c r="K11" s="14">
        <f t="shared" si="0"/>
        <v>10</v>
      </c>
    </row>
    <row r="12" spans="1:11" ht="25" customHeight="1">
      <c r="C12" s="2"/>
      <c r="E12" s="2"/>
      <c r="I12" s="30" t="s">
        <v>13</v>
      </c>
      <c r="J12" s="30"/>
      <c r="K12" s="14">
        <f>SUM(K5:K10)</f>
        <v>75.699999999999989</v>
      </c>
    </row>
    <row r="13" spans="1:11" ht="20" customHeight="1">
      <c r="C13" s="2"/>
      <c r="E13" s="2"/>
      <c r="I13" s="15"/>
      <c r="J13" s="15"/>
    </row>
    <row r="14" spans="1:11" ht="20" customHeight="1">
      <c r="C14" s="2"/>
      <c r="E14" s="2"/>
      <c r="I14" s="15"/>
      <c r="J14" s="2"/>
    </row>
    <row r="15" spans="1:11" ht="35" customHeight="1">
      <c r="A15" s="23" t="s">
        <v>14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35" customHeight="1">
      <c r="A16" s="3" t="s">
        <v>15</v>
      </c>
      <c r="B16" s="31" t="s">
        <v>16</v>
      </c>
      <c r="C16" s="31"/>
      <c r="D16" s="31"/>
      <c r="E16" s="31"/>
      <c r="F16" s="31"/>
      <c r="G16" s="31"/>
      <c r="H16" s="31"/>
      <c r="I16" s="31"/>
      <c r="J16" s="31"/>
      <c r="K16" s="3" t="s">
        <v>17</v>
      </c>
    </row>
    <row r="17" spans="1:14" ht="25" customHeight="1">
      <c r="A17" s="2" t="s">
        <v>18</v>
      </c>
      <c r="B17" s="25" t="s">
        <v>19</v>
      </c>
      <c r="C17" s="26"/>
      <c r="D17" s="26"/>
      <c r="E17" s="26"/>
      <c r="F17" s="26"/>
      <c r="G17" s="26"/>
      <c r="H17" s="26"/>
      <c r="I17" s="26"/>
      <c r="J17" s="26"/>
      <c r="K17" s="14">
        <v>30</v>
      </c>
    </row>
    <row r="18" spans="1:14" ht="25" customHeight="1">
      <c r="A18" s="2" t="s">
        <v>20</v>
      </c>
      <c r="B18" s="25" t="s">
        <v>21</v>
      </c>
      <c r="C18" s="26"/>
      <c r="D18" s="26"/>
      <c r="E18" s="26"/>
      <c r="F18" s="26"/>
      <c r="G18" s="26"/>
      <c r="H18" s="26"/>
      <c r="I18" s="26"/>
      <c r="J18" s="26"/>
      <c r="K18" s="14">
        <v>20</v>
      </c>
    </row>
    <row r="19" spans="1:14" ht="25" customHeight="1">
      <c r="A19" s="2" t="s">
        <v>22</v>
      </c>
      <c r="B19" s="25" t="s">
        <v>23</v>
      </c>
      <c r="C19" s="26"/>
      <c r="D19" s="26"/>
      <c r="E19" s="26"/>
      <c r="F19" s="26"/>
      <c r="G19" s="26"/>
      <c r="H19" s="26"/>
      <c r="I19" s="26"/>
      <c r="J19" s="26"/>
      <c r="K19" s="14">
        <v>30</v>
      </c>
    </row>
    <row r="20" spans="1:14" ht="25" customHeight="1">
      <c r="A20" s="2" t="s">
        <v>24</v>
      </c>
      <c r="B20" s="25" t="s">
        <v>25</v>
      </c>
      <c r="C20" s="26"/>
      <c r="D20" s="26"/>
      <c r="E20" s="26"/>
      <c r="F20" s="26"/>
      <c r="G20" s="26"/>
      <c r="H20" s="26"/>
      <c r="I20" s="26"/>
      <c r="J20" s="26"/>
      <c r="K20" s="14">
        <v>20</v>
      </c>
    </row>
    <row r="21" spans="1:14" ht="25" customHeight="1">
      <c r="A21" s="2" t="s">
        <v>26</v>
      </c>
      <c r="B21" s="32"/>
      <c r="C21" s="26"/>
      <c r="D21" s="26"/>
      <c r="E21" s="26"/>
      <c r="F21" s="26"/>
      <c r="G21" s="26"/>
      <c r="H21" s="26"/>
      <c r="I21" s="26"/>
      <c r="J21" s="26"/>
      <c r="K21" s="14"/>
    </row>
    <row r="22" spans="1:14" ht="25" customHeight="1">
      <c r="A22" s="2" t="s">
        <v>27</v>
      </c>
      <c r="B22" s="32"/>
      <c r="C22" s="33"/>
      <c r="D22" s="33"/>
      <c r="E22" s="33"/>
      <c r="F22" s="33"/>
      <c r="G22" s="33"/>
      <c r="H22" s="33"/>
      <c r="I22" s="33"/>
      <c r="J22" s="33"/>
      <c r="K22" s="14"/>
    </row>
    <row r="23" spans="1:14" ht="25" customHeight="1">
      <c r="A23" s="2" t="s">
        <v>28</v>
      </c>
      <c r="B23" s="32"/>
      <c r="C23" s="33"/>
      <c r="D23" s="33"/>
      <c r="E23" s="33"/>
      <c r="F23" s="33"/>
      <c r="G23" s="33"/>
      <c r="H23" s="33"/>
      <c r="I23" s="33"/>
      <c r="J23" s="33"/>
      <c r="K23" s="14"/>
    </row>
    <row r="24" spans="1:14" ht="25" customHeight="1">
      <c r="A24" s="2" t="s">
        <v>29</v>
      </c>
      <c r="B24" s="32"/>
      <c r="C24" s="33"/>
      <c r="D24" s="33"/>
      <c r="E24" s="33"/>
      <c r="F24" s="33"/>
      <c r="G24" s="33"/>
      <c r="H24" s="33"/>
      <c r="I24" s="33"/>
      <c r="J24" s="33"/>
      <c r="K24" s="14"/>
    </row>
    <row r="25" spans="1:14" ht="25" customHeight="1">
      <c r="A25" s="2" t="s">
        <v>30</v>
      </c>
      <c r="B25" s="32"/>
      <c r="C25" s="33"/>
      <c r="D25" s="33"/>
      <c r="E25" s="33"/>
      <c r="F25" s="33"/>
      <c r="G25" s="33"/>
      <c r="H25" s="33"/>
      <c r="I25" s="33"/>
      <c r="J25" s="33"/>
      <c r="K25" s="14"/>
    </row>
    <row r="26" spans="1:14" ht="20" customHeight="1">
      <c r="F26" s="9"/>
      <c r="G26" s="10"/>
      <c r="H26" s="10"/>
      <c r="I26" s="10"/>
      <c r="J26" s="7"/>
    </row>
    <row r="27" spans="1:14" ht="20" customHeight="1">
      <c r="C27" s="7"/>
      <c r="H27" s="7"/>
      <c r="I27" s="7"/>
      <c r="J27" s="7"/>
    </row>
    <row r="28" spans="1:14" ht="70">
      <c r="A28" s="3" t="s">
        <v>31</v>
      </c>
      <c r="B28" s="3" t="s">
        <v>32</v>
      </c>
      <c r="C28" s="3" t="s">
        <v>33</v>
      </c>
      <c r="D28" s="3" t="s">
        <v>34</v>
      </c>
      <c r="E28" s="3" t="s">
        <v>35</v>
      </c>
      <c r="F28" s="3" t="s">
        <v>36</v>
      </c>
      <c r="G28" s="3" t="s">
        <v>37</v>
      </c>
      <c r="H28" s="3" t="s">
        <v>38</v>
      </c>
      <c r="I28" s="3" t="s">
        <v>39</v>
      </c>
      <c r="J28" s="3" t="s">
        <v>40</v>
      </c>
      <c r="K28" s="3" t="s">
        <v>41</v>
      </c>
      <c r="L28" s="16" t="s">
        <v>42</v>
      </c>
      <c r="M28" s="19" t="s">
        <v>43</v>
      </c>
      <c r="N28" s="20">
        <f>SUM(K29:K54)</f>
        <v>14.999999999999998</v>
      </c>
    </row>
    <row r="29" spans="1:14" ht="16">
      <c r="A29" s="2" t="s">
        <v>44</v>
      </c>
      <c r="B29" s="5" t="s">
        <v>45</v>
      </c>
      <c r="C29" s="2" t="s">
        <v>46</v>
      </c>
      <c r="D29" s="6" t="s">
        <v>47</v>
      </c>
      <c r="E29" s="6" t="s">
        <v>47</v>
      </c>
      <c r="F29" s="6" t="s">
        <v>47</v>
      </c>
      <c r="G29" s="6" t="s">
        <v>47</v>
      </c>
      <c r="H29" s="6" t="s">
        <v>47</v>
      </c>
      <c r="I29" s="6" t="s">
        <v>47</v>
      </c>
      <c r="J29" s="6" t="s">
        <v>47</v>
      </c>
      <c r="K29" s="17"/>
    </row>
    <row r="30" spans="1:14" ht="16">
      <c r="A30" s="2"/>
      <c r="B30" s="5"/>
      <c r="C30" s="2"/>
      <c r="D30" s="2" t="s">
        <v>48</v>
      </c>
      <c r="E30" s="11" t="s">
        <v>49</v>
      </c>
      <c r="F30" s="11"/>
      <c r="G30" s="11" t="s">
        <v>50</v>
      </c>
      <c r="H30" s="6"/>
      <c r="I30" s="2">
        <v>3</v>
      </c>
      <c r="J30" s="6"/>
      <c r="K30" s="17">
        <v>0.7</v>
      </c>
    </row>
    <row r="31" spans="1:14" ht="16">
      <c r="A31" s="2"/>
      <c r="B31" s="5"/>
      <c r="C31" s="2"/>
      <c r="D31" s="2" t="s">
        <v>48</v>
      </c>
      <c r="E31" s="11" t="s">
        <v>49</v>
      </c>
      <c r="F31" s="11"/>
      <c r="G31" s="11" t="s">
        <v>51</v>
      </c>
      <c r="H31" s="6"/>
      <c r="I31" s="2">
        <v>2</v>
      </c>
      <c r="J31" s="6"/>
      <c r="K31" s="17">
        <v>1</v>
      </c>
    </row>
    <row r="32" spans="1:14" ht="16">
      <c r="A32" s="2"/>
      <c r="B32" s="5"/>
      <c r="C32" s="2"/>
      <c r="D32" s="2" t="s">
        <v>48</v>
      </c>
      <c r="E32" s="11" t="s">
        <v>49</v>
      </c>
      <c r="F32" s="11"/>
      <c r="G32" s="11" t="s">
        <v>52</v>
      </c>
      <c r="H32" s="6"/>
      <c r="I32" s="2">
        <v>1</v>
      </c>
      <c r="J32" s="6"/>
      <c r="K32" s="17">
        <v>1.1000000000000001</v>
      </c>
    </row>
    <row r="33" spans="1:11" ht="68">
      <c r="A33" s="2" t="s">
        <v>47</v>
      </c>
      <c r="B33" s="6" t="s">
        <v>47</v>
      </c>
      <c r="C33" s="2" t="s">
        <v>47</v>
      </c>
      <c r="D33" s="2" t="s">
        <v>48</v>
      </c>
      <c r="E33" s="11" t="s">
        <v>53</v>
      </c>
      <c r="F33" s="2" t="s">
        <v>47</v>
      </c>
      <c r="G33" s="12" t="s">
        <v>84</v>
      </c>
      <c r="H33" s="6" t="s">
        <v>47</v>
      </c>
      <c r="I33" s="2">
        <v>4</v>
      </c>
      <c r="J33" s="2"/>
      <c r="K33" s="17">
        <v>0.4</v>
      </c>
    </row>
    <row r="34" spans="1:11" ht="85">
      <c r="A34" s="2" t="s">
        <v>47</v>
      </c>
      <c r="B34" s="6" t="s">
        <v>47</v>
      </c>
      <c r="C34" s="2" t="s">
        <v>47</v>
      </c>
      <c r="D34" s="2" t="s">
        <v>48</v>
      </c>
      <c r="E34" s="11" t="s">
        <v>54</v>
      </c>
      <c r="F34" s="2" t="s">
        <v>47</v>
      </c>
      <c r="G34" s="12" t="s">
        <v>85</v>
      </c>
      <c r="H34" s="6" t="s">
        <v>47</v>
      </c>
      <c r="I34" s="2">
        <v>6</v>
      </c>
      <c r="J34" s="2"/>
      <c r="K34" s="17">
        <v>0.5</v>
      </c>
    </row>
    <row r="35" spans="1:11" ht="187">
      <c r="A35" s="2" t="s">
        <v>47</v>
      </c>
      <c r="B35" s="6" t="s">
        <v>47</v>
      </c>
      <c r="C35" s="2" t="s">
        <v>47</v>
      </c>
      <c r="D35" s="2" t="s">
        <v>48</v>
      </c>
      <c r="E35" s="11" t="s">
        <v>57</v>
      </c>
      <c r="F35" s="2" t="s">
        <v>47</v>
      </c>
      <c r="G35" s="12" t="s">
        <v>86</v>
      </c>
      <c r="H35" s="6" t="s">
        <v>47</v>
      </c>
      <c r="I35" s="2">
        <v>4</v>
      </c>
      <c r="J35" s="2"/>
      <c r="K35" s="17">
        <v>0.7</v>
      </c>
    </row>
    <row r="36" spans="1:11" ht="102">
      <c r="A36" s="2" t="s">
        <v>47</v>
      </c>
      <c r="B36" s="6" t="s">
        <v>47</v>
      </c>
      <c r="C36" s="2" t="s">
        <v>47</v>
      </c>
      <c r="D36" s="2" t="s">
        <v>48</v>
      </c>
      <c r="E36" s="11" t="s">
        <v>58</v>
      </c>
      <c r="F36" s="2" t="s">
        <v>47</v>
      </c>
      <c r="G36" s="12" t="s">
        <v>96</v>
      </c>
      <c r="H36" s="6" t="s">
        <v>47</v>
      </c>
      <c r="I36" s="2">
        <v>6</v>
      </c>
      <c r="J36" s="2"/>
      <c r="K36" s="17">
        <v>0.8</v>
      </c>
    </row>
    <row r="37" spans="1:11" ht="68">
      <c r="A37" s="2" t="s">
        <v>47</v>
      </c>
      <c r="B37" s="6" t="s">
        <v>47</v>
      </c>
      <c r="C37" s="2" t="s">
        <v>47</v>
      </c>
      <c r="D37" s="2" t="s">
        <v>48</v>
      </c>
      <c r="E37" s="12" t="s">
        <v>76</v>
      </c>
      <c r="F37" s="2" t="s">
        <v>47</v>
      </c>
      <c r="G37" s="12" t="s">
        <v>87</v>
      </c>
      <c r="H37" s="6" t="s">
        <v>47</v>
      </c>
      <c r="I37" s="2">
        <v>4</v>
      </c>
      <c r="J37" s="2"/>
      <c r="K37" s="17">
        <v>0.4</v>
      </c>
    </row>
    <row r="38" spans="1:11" ht="85">
      <c r="A38" s="2" t="s">
        <v>47</v>
      </c>
      <c r="B38" s="6" t="s">
        <v>47</v>
      </c>
      <c r="C38" s="2" t="s">
        <v>47</v>
      </c>
      <c r="D38" s="2" t="s">
        <v>48</v>
      </c>
      <c r="E38" s="12" t="s">
        <v>77</v>
      </c>
      <c r="F38" s="2" t="s">
        <v>47</v>
      </c>
      <c r="G38" s="12" t="s">
        <v>88</v>
      </c>
      <c r="H38" s="6" t="s">
        <v>47</v>
      </c>
      <c r="I38" s="2">
        <v>5</v>
      </c>
      <c r="J38" s="2"/>
      <c r="K38" s="17">
        <v>0.5</v>
      </c>
    </row>
    <row r="39" spans="1:11" ht="68">
      <c r="A39" s="2" t="s">
        <v>47</v>
      </c>
      <c r="B39" s="6" t="s">
        <v>47</v>
      </c>
      <c r="C39" s="2" t="s">
        <v>47</v>
      </c>
      <c r="D39" s="2" t="s">
        <v>48</v>
      </c>
      <c r="E39" s="12" t="s">
        <v>78</v>
      </c>
      <c r="F39" s="2" t="s">
        <v>47</v>
      </c>
      <c r="G39" s="12" t="s">
        <v>89</v>
      </c>
      <c r="H39" s="6" t="s">
        <v>47</v>
      </c>
      <c r="I39" s="2">
        <v>4</v>
      </c>
      <c r="J39" s="2"/>
      <c r="K39" s="17">
        <v>0.4</v>
      </c>
    </row>
    <row r="40" spans="1:11" ht="77.25" customHeight="1">
      <c r="A40" s="2" t="s">
        <v>47</v>
      </c>
      <c r="B40" s="6" t="s">
        <v>47</v>
      </c>
      <c r="C40" s="2" t="s">
        <v>47</v>
      </c>
      <c r="D40" s="2" t="s">
        <v>48</v>
      </c>
      <c r="E40" s="12" t="s">
        <v>79</v>
      </c>
      <c r="F40" s="2" t="s">
        <v>47</v>
      </c>
      <c r="G40" s="34" t="s">
        <v>90</v>
      </c>
      <c r="H40" s="6" t="s">
        <v>47</v>
      </c>
      <c r="I40" s="2">
        <v>6</v>
      </c>
      <c r="J40" s="2"/>
      <c r="K40" s="17">
        <v>0.3</v>
      </c>
    </row>
    <row r="41" spans="1:11" ht="136">
      <c r="A41" s="2" t="s">
        <v>47</v>
      </c>
      <c r="B41" s="6" t="s">
        <v>47</v>
      </c>
      <c r="C41" s="2" t="s">
        <v>47</v>
      </c>
      <c r="D41" s="2" t="s">
        <v>48</v>
      </c>
      <c r="E41" s="12" t="s">
        <v>80</v>
      </c>
      <c r="F41" s="2" t="s">
        <v>47</v>
      </c>
      <c r="G41" s="12" t="s">
        <v>91</v>
      </c>
      <c r="H41" s="6" t="s">
        <v>47</v>
      </c>
      <c r="I41" s="2">
        <v>4</v>
      </c>
      <c r="J41" s="2"/>
      <c r="K41" s="17">
        <v>0.7</v>
      </c>
    </row>
    <row r="42" spans="1:11" ht="255">
      <c r="A42" s="2" t="s">
        <v>47</v>
      </c>
      <c r="B42" s="6" t="s">
        <v>47</v>
      </c>
      <c r="C42" s="2" t="s">
        <v>47</v>
      </c>
      <c r="D42" s="2" t="s">
        <v>48</v>
      </c>
      <c r="E42" s="12" t="s">
        <v>81</v>
      </c>
      <c r="F42" s="2" t="s">
        <v>47</v>
      </c>
      <c r="G42" s="12" t="s">
        <v>97</v>
      </c>
      <c r="H42" s="6" t="s">
        <v>47</v>
      </c>
      <c r="I42" s="2">
        <v>6</v>
      </c>
      <c r="J42" s="2"/>
      <c r="K42" s="17">
        <v>2</v>
      </c>
    </row>
    <row r="43" spans="1:11" ht="204">
      <c r="A43" s="2" t="s">
        <v>47</v>
      </c>
      <c r="B43" s="6" t="s">
        <v>47</v>
      </c>
      <c r="C43" s="2" t="s">
        <v>47</v>
      </c>
      <c r="D43" s="2" t="s">
        <v>48</v>
      </c>
      <c r="E43" s="12" t="s">
        <v>55</v>
      </c>
      <c r="F43" s="2" t="s">
        <v>47</v>
      </c>
      <c r="G43" s="34" t="s">
        <v>92</v>
      </c>
      <c r="H43" s="6" t="s">
        <v>47</v>
      </c>
      <c r="I43" s="2">
        <v>4</v>
      </c>
      <c r="J43" s="2"/>
      <c r="K43" s="17">
        <v>1.1000000000000001</v>
      </c>
    </row>
    <row r="44" spans="1:11" ht="204">
      <c r="A44" s="2" t="s">
        <v>47</v>
      </c>
      <c r="B44" s="6" t="s">
        <v>47</v>
      </c>
      <c r="C44" s="2" t="s">
        <v>47</v>
      </c>
      <c r="D44" s="2" t="s">
        <v>48</v>
      </c>
      <c r="E44" s="12" t="s">
        <v>56</v>
      </c>
      <c r="F44" s="2" t="s">
        <v>47</v>
      </c>
      <c r="G44" s="12" t="s">
        <v>93</v>
      </c>
      <c r="H44" s="6" t="s">
        <v>47</v>
      </c>
      <c r="I44" s="2">
        <v>5</v>
      </c>
      <c r="J44" s="2"/>
      <c r="K44" s="17">
        <v>0.7</v>
      </c>
    </row>
    <row r="45" spans="1:11" ht="187">
      <c r="A45" s="2"/>
      <c r="B45" s="6"/>
      <c r="C45" s="2"/>
      <c r="D45" s="2" t="s">
        <v>48</v>
      </c>
      <c r="E45" s="12" t="s">
        <v>82</v>
      </c>
      <c r="F45" s="2"/>
      <c r="G45" s="12" t="s">
        <v>94</v>
      </c>
      <c r="H45" s="6"/>
      <c r="I45" s="2">
        <v>5</v>
      </c>
      <c r="J45" s="2"/>
      <c r="K45" s="17">
        <v>1</v>
      </c>
    </row>
    <row r="46" spans="1:11" ht="187">
      <c r="A46" s="2"/>
      <c r="B46" s="6"/>
      <c r="C46" s="2"/>
      <c r="D46" s="2" t="s">
        <v>48</v>
      </c>
      <c r="E46" s="12" t="s">
        <v>83</v>
      </c>
      <c r="F46" s="2"/>
      <c r="G46" s="12" t="s">
        <v>95</v>
      </c>
      <c r="H46" s="6"/>
      <c r="I46" s="2"/>
      <c r="J46" s="2"/>
      <c r="K46" s="17">
        <v>0.7</v>
      </c>
    </row>
    <row r="47" spans="1:11">
      <c r="A47" s="2" t="s">
        <v>47</v>
      </c>
      <c r="B47" s="6" t="s">
        <v>47</v>
      </c>
      <c r="C47" s="2" t="s">
        <v>47</v>
      </c>
      <c r="D47" s="2" t="s">
        <v>59</v>
      </c>
      <c r="E47" s="6" t="s">
        <v>60</v>
      </c>
      <c r="F47" s="2" t="s">
        <v>47</v>
      </c>
      <c r="G47" s="6"/>
      <c r="H47" s="6" t="s">
        <v>47</v>
      </c>
      <c r="I47" s="2">
        <v>4</v>
      </c>
      <c r="J47" s="2"/>
      <c r="K47" s="17">
        <v>2</v>
      </c>
    </row>
    <row r="48" spans="1:11" ht="17">
      <c r="A48" s="2" t="s">
        <v>47</v>
      </c>
      <c r="B48" s="6" t="s">
        <v>47</v>
      </c>
      <c r="C48" s="2" t="s">
        <v>47</v>
      </c>
      <c r="D48" s="8" t="s">
        <v>47</v>
      </c>
      <c r="E48" s="6" t="s">
        <v>47</v>
      </c>
      <c r="F48" s="2">
        <v>0</v>
      </c>
      <c r="G48" s="13" t="s">
        <v>61</v>
      </c>
      <c r="H48" s="6" t="s">
        <v>47</v>
      </c>
      <c r="I48" s="2"/>
      <c r="J48" s="2"/>
      <c r="K48" s="17"/>
    </row>
    <row r="49" spans="1:14" ht="34">
      <c r="A49" s="2" t="s">
        <v>47</v>
      </c>
      <c r="B49" s="6" t="s">
        <v>47</v>
      </c>
      <c r="C49" s="2" t="s">
        <v>47</v>
      </c>
      <c r="D49" s="8" t="s">
        <v>47</v>
      </c>
      <c r="E49" s="6" t="s">
        <v>47</v>
      </c>
      <c r="F49" s="2">
        <v>1</v>
      </c>
      <c r="G49" s="13" t="s">
        <v>62</v>
      </c>
      <c r="H49" s="6" t="s">
        <v>47</v>
      </c>
      <c r="I49" s="2"/>
      <c r="J49" s="2"/>
      <c r="K49" s="17"/>
    </row>
    <row r="50" spans="1:14" ht="17">
      <c r="A50" s="2" t="s">
        <v>47</v>
      </c>
      <c r="B50" s="6" t="s">
        <v>47</v>
      </c>
      <c r="C50" s="2" t="s">
        <v>47</v>
      </c>
      <c r="D50" s="8" t="s">
        <v>47</v>
      </c>
      <c r="E50" s="6" t="s">
        <v>47</v>
      </c>
      <c r="F50" s="2">
        <v>2</v>
      </c>
      <c r="G50" s="13" t="s">
        <v>63</v>
      </c>
      <c r="H50" s="6" t="s">
        <v>47</v>
      </c>
      <c r="I50" s="2"/>
      <c r="J50" s="2"/>
      <c r="K50" s="17"/>
    </row>
    <row r="51" spans="1:14" ht="34">
      <c r="A51" s="2" t="s">
        <v>47</v>
      </c>
      <c r="B51" s="6" t="s">
        <v>47</v>
      </c>
      <c r="C51" s="2" t="s">
        <v>47</v>
      </c>
      <c r="D51" s="8" t="s">
        <v>47</v>
      </c>
      <c r="E51" s="6" t="s">
        <v>47</v>
      </c>
      <c r="F51" s="2">
        <v>3</v>
      </c>
      <c r="G51" s="13" t="s">
        <v>64</v>
      </c>
      <c r="H51" s="6" t="s">
        <v>47</v>
      </c>
      <c r="I51" s="2"/>
      <c r="J51" s="2"/>
      <c r="K51" s="17"/>
    </row>
    <row r="52" spans="1:14" ht="16">
      <c r="A52" s="2" t="s">
        <v>65</v>
      </c>
      <c r="B52" s="5" t="s">
        <v>66</v>
      </c>
      <c r="C52" s="2" t="s">
        <v>46</v>
      </c>
      <c r="D52" s="6" t="s">
        <v>47</v>
      </c>
      <c r="E52" s="6" t="s">
        <v>47</v>
      </c>
      <c r="F52" s="6" t="s">
        <v>47</v>
      </c>
      <c r="G52" s="6" t="s">
        <v>47</v>
      </c>
      <c r="H52" s="6" t="s">
        <v>47</v>
      </c>
      <c r="I52" s="6" t="s">
        <v>47</v>
      </c>
      <c r="J52" s="6" t="s">
        <v>47</v>
      </c>
      <c r="K52" s="18"/>
    </row>
    <row r="53" spans="1:14">
      <c r="A53" s="2" t="s">
        <v>47</v>
      </c>
      <c r="B53" s="6" t="s">
        <v>47</v>
      </c>
      <c r="C53" s="2" t="s">
        <v>47</v>
      </c>
      <c r="D53" s="2" t="s">
        <v>47</v>
      </c>
      <c r="E53" s="6" t="s">
        <v>47</v>
      </c>
      <c r="F53" s="2" t="s">
        <v>47</v>
      </c>
      <c r="G53" s="6" t="s">
        <v>47</v>
      </c>
      <c r="H53" s="6" t="s">
        <v>47</v>
      </c>
      <c r="I53" s="2"/>
      <c r="J53" s="2"/>
      <c r="K53" s="17"/>
    </row>
    <row r="54" spans="1:14">
      <c r="A54" s="2" t="s">
        <v>47</v>
      </c>
      <c r="B54" s="6" t="s">
        <v>47</v>
      </c>
      <c r="C54" s="2" t="s">
        <v>47</v>
      </c>
      <c r="D54" s="2" t="s">
        <v>47</v>
      </c>
      <c r="E54" s="6" t="s">
        <v>47</v>
      </c>
      <c r="F54" s="2" t="s">
        <v>47</v>
      </c>
      <c r="G54" s="6" t="s">
        <v>47</v>
      </c>
      <c r="H54" s="6" t="s">
        <v>47</v>
      </c>
      <c r="I54" s="2"/>
      <c r="J54" s="2"/>
      <c r="K54" s="17"/>
    </row>
    <row r="55" spans="1:14" ht="70">
      <c r="A55" s="3" t="s">
        <v>31</v>
      </c>
      <c r="B55" s="3" t="s">
        <v>32</v>
      </c>
      <c r="C55" s="3" t="s">
        <v>33</v>
      </c>
      <c r="D55" s="3" t="s">
        <v>34</v>
      </c>
      <c r="E55" s="3" t="s">
        <v>35</v>
      </c>
      <c r="F55" s="3" t="s">
        <v>36</v>
      </c>
      <c r="G55" s="3" t="s">
        <v>37</v>
      </c>
      <c r="H55" s="3" t="s">
        <v>38</v>
      </c>
      <c r="I55" s="3" t="s">
        <v>39</v>
      </c>
      <c r="J55" s="3" t="s">
        <v>40</v>
      </c>
      <c r="K55" s="3" t="s">
        <v>41</v>
      </c>
      <c r="L55" s="16" t="s">
        <v>67</v>
      </c>
      <c r="M55" s="19" t="s">
        <v>43</v>
      </c>
      <c r="N55" s="20">
        <f>SUM(K56:K57)</f>
        <v>0</v>
      </c>
    </row>
    <row r="56" spans="1:14" ht="16">
      <c r="A56" s="2"/>
      <c r="B56" s="6"/>
      <c r="C56" s="2"/>
      <c r="D56" s="2"/>
      <c r="E56" s="6"/>
      <c r="F56" s="2"/>
      <c r="G56" s="21"/>
      <c r="H56" s="6"/>
      <c r="I56" s="2"/>
      <c r="J56" s="2"/>
      <c r="K56" s="14"/>
    </row>
    <row r="57" spans="1:14">
      <c r="A57" s="2" t="s">
        <v>47</v>
      </c>
      <c r="B57" s="6" t="s">
        <v>47</v>
      </c>
      <c r="C57" s="2" t="s">
        <v>47</v>
      </c>
      <c r="D57" s="2" t="s">
        <v>47</v>
      </c>
      <c r="E57" s="6" t="s">
        <v>47</v>
      </c>
      <c r="F57" s="2" t="s">
        <v>47</v>
      </c>
      <c r="G57" s="6" t="s">
        <v>47</v>
      </c>
      <c r="H57" s="6" t="s">
        <v>47</v>
      </c>
      <c r="I57" s="2"/>
      <c r="J57" s="2"/>
      <c r="K57" s="14"/>
    </row>
    <row r="58" spans="1:14" ht="70">
      <c r="A58" s="3" t="s">
        <v>31</v>
      </c>
      <c r="B58" s="3" t="s">
        <v>32</v>
      </c>
      <c r="C58" s="3" t="s">
        <v>33</v>
      </c>
      <c r="D58" s="3" t="s">
        <v>34</v>
      </c>
      <c r="E58" s="3" t="s">
        <v>35</v>
      </c>
      <c r="F58" s="3" t="s">
        <v>36</v>
      </c>
      <c r="G58" s="3" t="s">
        <v>37</v>
      </c>
      <c r="H58" s="3" t="s">
        <v>38</v>
      </c>
      <c r="I58" s="3" t="s">
        <v>39</v>
      </c>
      <c r="J58" s="3" t="s">
        <v>40</v>
      </c>
      <c r="K58" s="3" t="s">
        <v>41</v>
      </c>
      <c r="L58" s="16" t="s">
        <v>68</v>
      </c>
      <c r="M58" s="19" t="s">
        <v>43</v>
      </c>
      <c r="N58" s="20">
        <f>SUM(K59:K60)</f>
        <v>0</v>
      </c>
    </row>
    <row r="59" spans="1:14">
      <c r="A59" s="2" t="s">
        <v>47</v>
      </c>
      <c r="B59" s="6" t="s">
        <v>47</v>
      </c>
      <c r="C59" s="2" t="s">
        <v>47</v>
      </c>
      <c r="D59" s="2" t="s">
        <v>47</v>
      </c>
      <c r="E59" s="6" t="s">
        <v>47</v>
      </c>
      <c r="F59" s="2" t="s">
        <v>47</v>
      </c>
      <c r="G59" s="6" t="s">
        <v>47</v>
      </c>
      <c r="H59" s="6" t="s">
        <v>47</v>
      </c>
      <c r="I59" s="2"/>
      <c r="J59" s="2"/>
      <c r="K59" s="14"/>
    </row>
    <row r="60" spans="1:14">
      <c r="A60" s="2" t="s">
        <v>47</v>
      </c>
      <c r="B60" s="6" t="s">
        <v>47</v>
      </c>
      <c r="C60" s="2" t="s">
        <v>47</v>
      </c>
      <c r="D60" s="2" t="s">
        <v>47</v>
      </c>
      <c r="E60" s="6" t="s">
        <v>47</v>
      </c>
      <c r="F60" s="2" t="s">
        <v>47</v>
      </c>
      <c r="G60" s="6" t="s">
        <v>47</v>
      </c>
      <c r="H60" s="6" t="s">
        <v>47</v>
      </c>
      <c r="I60" s="2"/>
      <c r="J60" s="2"/>
      <c r="K60" s="14"/>
    </row>
    <row r="61" spans="1:14" ht="70">
      <c r="A61" s="3" t="s">
        <v>31</v>
      </c>
      <c r="B61" s="3" t="s">
        <v>32</v>
      </c>
      <c r="C61" s="3" t="s">
        <v>33</v>
      </c>
      <c r="D61" s="3" t="s">
        <v>34</v>
      </c>
      <c r="E61" s="3" t="s">
        <v>35</v>
      </c>
      <c r="F61" s="3" t="s">
        <v>36</v>
      </c>
      <c r="G61" s="3" t="s">
        <v>37</v>
      </c>
      <c r="H61" s="3" t="s">
        <v>38</v>
      </c>
      <c r="I61" s="3" t="s">
        <v>39</v>
      </c>
      <c r="J61" s="3" t="s">
        <v>40</v>
      </c>
      <c r="K61" s="3" t="s">
        <v>41</v>
      </c>
      <c r="L61" s="16" t="s">
        <v>69</v>
      </c>
      <c r="M61" s="19" t="s">
        <v>43</v>
      </c>
      <c r="N61" s="20">
        <f>SUM(K62:K63)</f>
        <v>0</v>
      </c>
    </row>
    <row r="62" spans="1:14">
      <c r="A62" s="2" t="s">
        <v>47</v>
      </c>
      <c r="B62" s="6" t="s">
        <v>47</v>
      </c>
      <c r="C62" s="2" t="s">
        <v>47</v>
      </c>
      <c r="D62" s="2" t="s">
        <v>47</v>
      </c>
      <c r="E62" s="6" t="s">
        <v>47</v>
      </c>
      <c r="F62" s="2" t="s">
        <v>47</v>
      </c>
      <c r="G62" s="6" t="s">
        <v>47</v>
      </c>
      <c r="H62" s="6" t="s">
        <v>47</v>
      </c>
      <c r="I62" s="2"/>
      <c r="J62" s="2"/>
      <c r="K62" s="14"/>
    </row>
    <row r="63" spans="1:14">
      <c r="A63" s="2" t="s">
        <v>47</v>
      </c>
      <c r="B63" s="6" t="s">
        <v>47</v>
      </c>
      <c r="C63" s="2" t="s">
        <v>47</v>
      </c>
      <c r="D63" s="2" t="s">
        <v>47</v>
      </c>
      <c r="E63" s="6" t="s">
        <v>47</v>
      </c>
      <c r="F63" s="2" t="s">
        <v>47</v>
      </c>
      <c r="G63" s="6" t="s">
        <v>47</v>
      </c>
      <c r="H63" s="6" t="s">
        <v>47</v>
      </c>
      <c r="I63" s="2"/>
      <c r="J63" s="2"/>
      <c r="K63" s="14"/>
    </row>
    <row r="64" spans="1:14" ht="70">
      <c r="A64" s="3" t="s">
        <v>31</v>
      </c>
      <c r="B64" s="3" t="s">
        <v>32</v>
      </c>
      <c r="C64" s="3" t="s">
        <v>33</v>
      </c>
      <c r="D64" s="3" t="s">
        <v>34</v>
      </c>
      <c r="E64" s="3" t="s">
        <v>35</v>
      </c>
      <c r="F64" s="3" t="s">
        <v>36</v>
      </c>
      <c r="G64" s="3" t="s">
        <v>37</v>
      </c>
      <c r="H64" s="3" t="s">
        <v>38</v>
      </c>
      <c r="I64" s="3" t="s">
        <v>39</v>
      </c>
      <c r="J64" s="3" t="s">
        <v>40</v>
      </c>
      <c r="K64" s="3" t="s">
        <v>41</v>
      </c>
      <c r="L64" s="16" t="s">
        <v>70</v>
      </c>
      <c r="M64" s="19" t="s">
        <v>43</v>
      </c>
      <c r="N64" s="20">
        <f>SUM(K65:K66)</f>
        <v>0</v>
      </c>
    </row>
    <row r="65" spans="1:14">
      <c r="A65" s="2" t="s">
        <v>47</v>
      </c>
      <c r="B65" s="6" t="s">
        <v>47</v>
      </c>
      <c r="C65" s="2" t="s">
        <v>47</v>
      </c>
      <c r="D65" s="2" t="s">
        <v>47</v>
      </c>
      <c r="E65" s="6" t="s">
        <v>47</v>
      </c>
      <c r="F65" s="2" t="s">
        <v>47</v>
      </c>
      <c r="G65" s="6" t="s">
        <v>47</v>
      </c>
      <c r="H65" s="6" t="s">
        <v>47</v>
      </c>
      <c r="I65" s="2"/>
      <c r="J65" s="2"/>
      <c r="K65" s="14"/>
    </row>
    <row r="66" spans="1:14">
      <c r="A66" s="2" t="s">
        <v>47</v>
      </c>
      <c r="B66" s="6" t="s">
        <v>47</v>
      </c>
      <c r="C66" s="2" t="s">
        <v>47</v>
      </c>
      <c r="D66" s="2" t="s">
        <v>47</v>
      </c>
      <c r="E66" s="6" t="s">
        <v>47</v>
      </c>
      <c r="F66" s="2" t="s">
        <v>47</v>
      </c>
      <c r="G66" s="6" t="s">
        <v>47</v>
      </c>
      <c r="H66" s="6" t="s">
        <v>47</v>
      </c>
      <c r="I66" s="2"/>
      <c r="J66" s="2"/>
      <c r="K66" s="14"/>
    </row>
    <row r="67" spans="1:14" ht="70">
      <c r="A67" s="3" t="s">
        <v>31</v>
      </c>
      <c r="B67" s="3" t="s">
        <v>32</v>
      </c>
      <c r="C67" s="3" t="s">
        <v>33</v>
      </c>
      <c r="D67" s="3" t="s">
        <v>34</v>
      </c>
      <c r="E67" s="3" t="s">
        <v>35</v>
      </c>
      <c r="F67" s="3" t="s">
        <v>36</v>
      </c>
      <c r="G67" s="3" t="s">
        <v>37</v>
      </c>
      <c r="H67" s="3" t="s">
        <v>38</v>
      </c>
      <c r="I67" s="3" t="s">
        <v>39</v>
      </c>
      <c r="J67" s="3" t="s">
        <v>40</v>
      </c>
      <c r="K67" s="3" t="s">
        <v>41</v>
      </c>
      <c r="L67" s="16" t="s">
        <v>71</v>
      </c>
      <c r="M67" s="19" t="s">
        <v>43</v>
      </c>
      <c r="N67" s="20">
        <f>SUM(K68:K69)</f>
        <v>0</v>
      </c>
    </row>
    <row r="68" spans="1:14">
      <c r="A68" s="2" t="s">
        <v>47</v>
      </c>
      <c r="B68" s="6" t="s">
        <v>47</v>
      </c>
      <c r="C68" s="2" t="s">
        <v>47</v>
      </c>
      <c r="D68" s="2" t="s">
        <v>47</v>
      </c>
      <c r="E68" s="6" t="s">
        <v>47</v>
      </c>
      <c r="F68" s="2" t="s">
        <v>47</v>
      </c>
      <c r="G68" s="6" t="s">
        <v>47</v>
      </c>
      <c r="H68" s="6" t="s">
        <v>47</v>
      </c>
      <c r="I68" s="2"/>
      <c r="J68" s="2"/>
      <c r="K68" s="14"/>
    </row>
    <row r="69" spans="1:14">
      <c r="A69" s="2" t="s">
        <v>47</v>
      </c>
      <c r="B69" s="6" t="s">
        <v>47</v>
      </c>
      <c r="C69" s="2" t="s">
        <v>47</v>
      </c>
      <c r="D69" s="2" t="s">
        <v>47</v>
      </c>
      <c r="E69" s="6" t="s">
        <v>47</v>
      </c>
      <c r="F69" s="2" t="s">
        <v>47</v>
      </c>
      <c r="G69" s="6" t="s">
        <v>47</v>
      </c>
      <c r="H69" s="6" t="s">
        <v>47</v>
      </c>
      <c r="I69" s="2"/>
      <c r="J69" s="2"/>
      <c r="K69" s="14"/>
    </row>
    <row r="70" spans="1:14" ht="70">
      <c r="A70" s="3" t="s">
        <v>31</v>
      </c>
      <c r="B70" s="3" t="s">
        <v>32</v>
      </c>
      <c r="C70" s="3" t="s">
        <v>33</v>
      </c>
      <c r="D70" s="3" t="s">
        <v>34</v>
      </c>
      <c r="E70" s="3" t="s">
        <v>35</v>
      </c>
      <c r="F70" s="3" t="s">
        <v>36</v>
      </c>
      <c r="G70" s="3" t="s">
        <v>37</v>
      </c>
      <c r="H70" s="3" t="s">
        <v>38</v>
      </c>
      <c r="I70" s="3" t="s">
        <v>39</v>
      </c>
      <c r="J70" s="3" t="s">
        <v>40</v>
      </c>
      <c r="K70" s="3" t="s">
        <v>41</v>
      </c>
      <c r="L70" s="16" t="s">
        <v>72</v>
      </c>
      <c r="M70" s="19" t="s">
        <v>43</v>
      </c>
      <c r="N70" s="20">
        <f>SUM(K71:K72)</f>
        <v>0</v>
      </c>
    </row>
    <row r="71" spans="1:14">
      <c r="A71" s="2" t="s">
        <v>47</v>
      </c>
      <c r="B71" s="6" t="s">
        <v>47</v>
      </c>
      <c r="C71" s="2" t="s">
        <v>47</v>
      </c>
      <c r="D71" s="2" t="s">
        <v>47</v>
      </c>
      <c r="E71" s="6" t="s">
        <v>47</v>
      </c>
      <c r="F71" s="2" t="s">
        <v>47</v>
      </c>
      <c r="G71" s="6" t="s">
        <v>47</v>
      </c>
      <c r="H71" s="6" t="s">
        <v>47</v>
      </c>
      <c r="I71" s="2"/>
      <c r="J71" s="2"/>
      <c r="K71" s="14"/>
    </row>
    <row r="72" spans="1:14">
      <c r="A72" s="2" t="s">
        <v>47</v>
      </c>
      <c r="B72" s="6" t="s">
        <v>47</v>
      </c>
      <c r="C72" s="2" t="s">
        <v>47</v>
      </c>
      <c r="D72" s="2" t="s">
        <v>47</v>
      </c>
      <c r="E72" s="6"/>
      <c r="F72" s="2" t="s">
        <v>47</v>
      </c>
      <c r="G72" s="6" t="s">
        <v>47</v>
      </c>
      <c r="H72" s="6" t="s">
        <v>47</v>
      </c>
      <c r="I72" s="2"/>
      <c r="J72" s="2"/>
      <c r="K72" s="14"/>
    </row>
    <row r="73" spans="1:14" ht="70">
      <c r="A73" s="3" t="s">
        <v>31</v>
      </c>
      <c r="B73" s="3" t="s">
        <v>32</v>
      </c>
      <c r="C73" s="3" t="s">
        <v>33</v>
      </c>
      <c r="D73" s="3" t="s">
        <v>34</v>
      </c>
      <c r="E73" s="3" t="s">
        <v>35</v>
      </c>
      <c r="F73" s="3" t="s">
        <v>36</v>
      </c>
      <c r="G73" s="3" t="s">
        <v>37</v>
      </c>
      <c r="H73" s="3" t="s">
        <v>38</v>
      </c>
      <c r="I73" s="3" t="s">
        <v>39</v>
      </c>
      <c r="J73" s="3" t="s">
        <v>40</v>
      </c>
      <c r="K73" s="3" t="s">
        <v>41</v>
      </c>
      <c r="L73" s="16" t="s">
        <v>73</v>
      </c>
      <c r="M73" s="19" t="s">
        <v>43</v>
      </c>
      <c r="N73" s="20">
        <f>SUM(K74:K75)</f>
        <v>0</v>
      </c>
    </row>
    <row r="74" spans="1:14">
      <c r="A74" s="2" t="s">
        <v>47</v>
      </c>
      <c r="B74" s="6" t="s">
        <v>47</v>
      </c>
      <c r="C74" s="2" t="s">
        <v>47</v>
      </c>
      <c r="D74" s="2" t="s">
        <v>47</v>
      </c>
      <c r="E74" s="6" t="s">
        <v>47</v>
      </c>
      <c r="F74" s="2" t="s">
        <v>47</v>
      </c>
      <c r="G74" s="6" t="s">
        <v>47</v>
      </c>
      <c r="H74" s="6" t="s">
        <v>47</v>
      </c>
      <c r="I74" s="2"/>
      <c r="J74" s="2"/>
      <c r="K74" s="14"/>
    </row>
    <row r="75" spans="1:14">
      <c r="A75" s="2" t="s">
        <v>47</v>
      </c>
      <c r="B75" s="6" t="s">
        <v>47</v>
      </c>
      <c r="C75" s="2" t="s">
        <v>47</v>
      </c>
      <c r="D75" s="2" t="s">
        <v>47</v>
      </c>
      <c r="E75" s="6" t="s">
        <v>47</v>
      </c>
      <c r="F75" s="2" t="s">
        <v>47</v>
      </c>
      <c r="G75" s="6" t="s">
        <v>47</v>
      </c>
      <c r="H75" s="6" t="s">
        <v>47</v>
      </c>
      <c r="I75" s="2"/>
      <c r="J75" s="2"/>
      <c r="K75" s="14"/>
    </row>
    <row r="76" spans="1:14" ht="70">
      <c r="A76" s="3" t="s">
        <v>31</v>
      </c>
      <c r="B76" s="3" t="s">
        <v>32</v>
      </c>
      <c r="C76" s="3" t="s">
        <v>33</v>
      </c>
      <c r="D76" s="3" t="s">
        <v>34</v>
      </c>
      <c r="E76" s="3" t="s">
        <v>35</v>
      </c>
      <c r="F76" s="3" t="s">
        <v>36</v>
      </c>
      <c r="G76" s="3" t="s">
        <v>37</v>
      </c>
      <c r="H76" s="3" t="s">
        <v>38</v>
      </c>
      <c r="I76" s="3" t="s">
        <v>39</v>
      </c>
      <c r="J76" s="3" t="s">
        <v>40</v>
      </c>
      <c r="K76" s="3" t="s">
        <v>41</v>
      </c>
      <c r="L76" s="16" t="s">
        <v>74</v>
      </c>
      <c r="M76" s="19" t="s">
        <v>43</v>
      </c>
      <c r="N76" s="20">
        <f>SUM(K77:K78)</f>
        <v>0</v>
      </c>
    </row>
    <row r="77" spans="1:14">
      <c r="A77" s="2" t="s">
        <v>47</v>
      </c>
      <c r="B77" s="6" t="s">
        <v>47</v>
      </c>
      <c r="C77" s="2" t="s">
        <v>47</v>
      </c>
      <c r="D77" s="2" t="s">
        <v>47</v>
      </c>
      <c r="E77" s="6" t="s">
        <v>47</v>
      </c>
      <c r="F77" s="2" t="s">
        <v>47</v>
      </c>
      <c r="G77" s="6" t="s">
        <v>47</v>
      </c>
      <c r="H77" s="6" t="s">
        <v>47</v>
      </c>
      <c r="I77" s="2"/>
      <c r="J77" s="2"/>
      <c r="K77" s="14"/>
    </row>
    <row r="78" spans="1:14">
      <c r="A78" s="6" t="s">
        <v>47</v>
      </c>
      <c r="B78" s="6" t="s">
        <v>47</v>
      </c>
      <c r="C78" s="6" t="s">
        <v>47</v>
      </c>
      <c r="D78" s="6" t="s">
        <v>47</v>
      </c>
      <c r="E78" s="6" t="s">
        <v>47</v>
      </c>
      <c r="F78" s="6" t="s">
        <v>47</v>
      </c>
      <c r="G78" s="6" t="s">
        <v>47</v>
      </c>
      <c r="H78" s="6" t="s">
        <v>47</v>
      </c>
      <c r="I78" s="6" t="s">
        <v>47</v>
      </c>
      <c r="J78" s="6" t="s">
        <v>47</v>
      </c>
      <c r="K78" s="6" t="s">
        <v>47</v>
      </c>
    </row>
    <row r="81" spans="12:14" ht="42">
      <c r="L81" s="16" t="s">
        <v>75</v>
      </c>
      <c r="M81" s="19" t="s">
        <v>43</v>
      </c>
      <c r="N81" s="20">
        <f>SUM(N1:N79)</f>
        <v>14.999999999999998</v>
      </c>
    </row>
  </sheetData>
  <sheetProtection formatCells="0" insertHyperlinks="0" autoFilter="0"/>
  <mergeCells count="22">
    <mergeCell ref="B24:J24"/>
    <mergeCell ref="B25:J25"/>
    <mergeCell ref="B19:J19"/>
    <mergeCell ref="B20:J20"/>
    <mergeCell ref="B21:J21"/>
    <mergeCell ref="B22:J22"/>
    <mergeCell ref="B23:J23"/>
    <mergeCell ref="I12:J12"/>
    <mergeCell ref="A15:K15"/>
    <mergeCell ref="B16:J16"/>
    <mergeCell ref="B17:J17"/>
    <mergeCell ref="B18:J18"/>
    <mergeCell ref="B7:H7"/>
    <mergeCell ref="B8:H8"/>
    <mergeCell ref="B9:H9"/>
    <mergeCell ref="B10:H10"/>
    <mergeCell ref="B11:H11"/>
    <mergeCell ref="A1:K1"/>
    <mergeCell ref="A3:K3"/>
    <mergeCell ref="B4:H4"/>
    <mergeCell ref="B5:H5"/>
    <mergeCell ref="B6:H6"/>
  </mergeCells>
  <pageMargins left="0.39" right="0.39" top="0.87" bottom="0.59" header="0.2" footer="0.2"/>
  <pageSetup paperSize="9" orientation="landscape"/>
  <headerFooter>
    <oddHeader>&amp;L&amp;"Calibri"&amp;10&amp;K000000 Official (Open)&amp;1#_x000D_&amp;R&amp;G</oddHeader>
    <oddFooter>&amp;L&amp;8Sheet: &amp;A
File: &amp;F&amp;C&amp;8Version: 
Date: &amp;R&amp;8&amp;P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/>
  <cols>
    <col min="1" max="1" width="21.33203125" customWidth="1"/>
    <col min="2" max="2" width="28.6640625" customWidth="1"/>
    <col min="3" max="3" width="7.1640625" customWidth="1"/>
    <col min="4" max="4" width="69.5" customWidth="1"/>
  </cols>
  <sheetData/>
  <sheetProtection formatCells="0" insertHyperlinks="0" autoFilter="0"/>
  <pageMargins left="0.39" right="0.39" top="0.87" bottom="0.59" header="0.2" footer="0.2"/>
  <pageSetup paperSize="9" orientation="landscape"/>
  <headerFooter>
    <oddHeader>&amp;L&amp;"Calibri"&amp;10&amp;K000000 Official (Open)&amp;1#_x000D_&amp;R&amp;G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Li-ren KEE (NYP)</cp:lastModifiedBy>
  <cp:lastPrinted>2010-05-07T20:08:00Z</cp:lastPrinted>
  <dcterms:created xsi:type="dcterms:W3CDTF">2010-05-06T20:25:00Z</dcterms:created>
  <dcterms:modified xsi:type="dcterms:W3CDTF">2024-07-11T09:35:52Z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34E326E9417493D47B5E48664DCA2583_43</vt:lpwstr>
  </property>
  <property fmtid="{D5CDD505-2E9C-101B-9397-08002B2CF9AE}" pid="3" name="KSOProductBuildVer">
    <vt:lpwstr>2052-5.5.0.7954</vt:lpwstr>
  </property>
  <property fmtid="{D5CDD505-2E9C-101B-9397-08002B2CF9AE}" pid="4" name="KSOReadingLayout">
    <vt:bool>true</vt:bool>
  </property>
  <property fmtid="{D5CDD505-2E9C-101B-9397-08002B2CF9AE}" pid="5" name="MSIP_Label_babe128f-e2ab-4b18-9c62-301caee5e80a_Enabled">
    <vt:lpwstr>true</vt:lpwstr>
  </property>
  <property fmtid="{D5CDD505-2E9C-101B-9397-08002B2CF9AE}" pid="6" name="MSIP_Label_babe128f-e2ab-4b18-9c62-301caee5e80a_SetDate">
    <vt:lpwstr>2024-07-11T06:59:14Z</vt:lpwstr>
  </property>
  <property fmtid="{D5CDD505-2E9C-101B-9397-08002B2CF9AE}" pid="7" name="MSIP_Label_babe128f-e2ab-4b18-9c62-301caee5e80a_Method">
    <vt:lpwstr>Privileged</vt:lpwstr>
  </property>
  <property fmtid="{D5CDD505-2E9C-101B-9397-08002B2CF9AE}" pid="8" name="MSIP_Label_babe128f-e2ab-4b18-9c62-301caee5e80a_Name">
    <vt:lpwstr>OFFICIAL [OPEN]</vt:lpwstr>
  </property>
  <property fmtid="{D5CDD505-2E9C-101B-9397-08002B2CF9AE}" pid="9" name="MSIP_Label_babe128f-e2ab-4b18-9c62-301caee5e80a_SiteId">
    <vt:lpwstr>243ebaed-00d0-4690-a7dc-75893b0d9f98</vt:lpwstr>
  </property>
  <property fmtid="{D5CDD505-2E9C-101B-9397-08002B2CF9AE}" pid="10" name="MSIP_Label_babe128f-e2ab-4b18-9c62-301caee5e80a_ActionId">
    <vt:lpwstr>7f473ba1-2ac3-4877-85b8-541247e90f32</vt:lpwstr>
  </property>
  <property fmtid="{D5CDD505-2E9C-101B-9397-08002B2CF9AE}" pid="11" name="MSIP_Label_babe128f-e2ab-4b18-9c62-301caee5e80a_ContentBits">
    <vt:lpwstr>1</vt:lpwstr>
  </property>
</Properties>
</file>