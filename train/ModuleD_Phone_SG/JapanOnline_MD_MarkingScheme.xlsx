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huimei\Desktop\JapanOnline\"/>
    </mc:Choice>
  </mc:AlternateContent>
  <xr:revisionPtr revIDLastSave="0" documentId="13_ncr:1_{9238815C-4F49-4177-9439-8B02E6A61F9E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CIS Marking Scheme Import" sheetId="1" r:id="rId1"/>
    <sheet name="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K12" i="1" l="1"/>
</calcChain>
</file>

<file path=xl/sharedStrings.xml><?xml version="1.0" encoding="utf-8"?>
<sst xmlns="http://schemas.openxmlformats.org/spreadsheetml/2006/main" count="289" uniqueCount="169">
  <si>
    <t>08 Mobile Applications Development</t>
  </si>
  <si>
    <t>WorldSkills Occupational Standards</t>
  </si>
  <si>
    <t>Section</t>
  </si>
  <si>
    <t>WSOS Marks</t>
  </si>
  <si>
    <t>Aspect Marks</t>
  </si>
  <si>
    <t>Variation</t>
  </si>
  <si>
    <t>1.0</t>
  </si>
  <si>
    <t>Work organization and management</t>
  </si>
  <si>
    <t>2.0</t>
  </si>
  <si>
    <t>Communication and interpersonal skills</t>
  </si>
  <si>
    <t>3.0</t>
  </si>
  <si>
    <t>Sustainable Practice</t>
  </si>
  <si>
    <t>4.0</t>
  </si>
  <si>
    <t>Initial planning, design, and test framework</t>
  </si>
  <si>
    <t>5.0</t>
  </si>
  <si>
    <t>Systems architecture planning</t>
  </si>
  <si>
    <t>6.0</t>
  </si>
  <si>
    <t>Implementation and product development</t>
  </si>
  <si>
    <t>7.0</t>
  </si>
  <si>
    <t>Final product tests, troubleshooting, and optimization</t>
  </si>
  <si>
    <t>Total Variation</t>
  </si>
  <si>
    <t>Criteria</t>
  </si>
  <si>
    <t>ID</t>
  </si>
  <si>
    <t>Name</t>
  </si>
  <si>
    <t>Mark</t>
  </si>
  <si>
    <t>D</t>
  </si>
  <si>
    <t>Development and Testing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</si>
  <si>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</si>
  <si>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</si>
  <si>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</si>
  <si>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</si>
  <si>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</si>
  <si>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</si>
  <si>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</si>
  <si>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</si>
  <si>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</si>
  <si>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
(Export only)</t>
  </si>
  <si>
    <t>Max
Mark</t>
  </si>
  <si>
    <t>Criterion D</t>
  </si>
  <si>
    <t>Total
Mark</t>
  </si>
  <si>
    <t>D1</t>
  </si>
  <si>
    <t>Develop by Test Case</t>
  </si>
  <si>
    <t>M</t>
  </si>
  <si>
    <t>Instructions to the Competitor</t>
  </si>
  <si>
    <t>Push the project to the Git server promptly</t>
  </si>
  <si>
    <t>Save the project to a correct folder</t>
  </si>
  <si>
    <t>The naming of the App is correct</t>
  </si>
  <si>
    <t>Form 1.1: Application UI Test Case — Home Page</t>
  </si>
  <si>
    <t>Form 1.1: Application UI Test Case — Match Details top bar and tabs</t>
  </si>
  <si>
    <t>Form 1.1: Application UI Test Case — Match Details (Overview)</t>
  </si>
  <si>
    <t>Form 1.1: Application UI Test Case — Match Details (Seat Map)</t>
  </si>
  <si>
    <t>Form 1.1: Application UI Test Case — Booking Confirm page</t>
  </si>
  <si>
    <t>Form 1.1: Application UI Test Case — My Tickets page</t>
  </si>
  <si>
    <t>Form 1.1: Application UI Test Case — Profile page</t>
  </si>
  <si>
    <t>Form 1.2: Application Test Case — Full Name validation</t>
  </si>
  <si>
    <t>Form 1.2: Application Test Case — Passport Number validation</t>
  </si>
  <si>
    <t>Form 1.2: Application Test Case — Est. Total auto-calculation</t>
  </si>
  <si>
    <t>Form 1.2: Application Test Case — Confirm Booking button validation</t>
  </si>
  <si>
    <t>Form 1.3: App Name</t>
  </si>
  <si>
    <t>App launcher icon label reads exactly "GoalPass" on both Android and iOS.</t>
  </si>
  <si>
    <t>Form 1.3: Preference Persistence</t>
  </si>
  <si>
    <t>Form 1.3: Default values on first install</t>
  </si>
  <si>
    <t>Form 1.3: Session persistence</t>
  </si>
  <si>
    <t>J</t>
  </si>
  <si>
    <t>Application Ease of Use</t>
  </si>
  <si>
    <t>App does not run normally.</t>
  </si>
  <si>
    <t>App runs normally, but some functionality is missing.</t>
  </si>
  <si>
    <t>App runs normally with good functional experience.</t>
  </si>
  <si>
    <t>D2</t>
  </si>
  <si>
    <t>Automated Test</t>
  </si>
  <si>
    <t>Automated test step 1 runs normally</t>
  </si>
  <si>
    <t>Application starts normally; app launcher label is "GoalPass"</t>
  </si>
  <si>
    <t>Automated test step 2 runs normally</t>
  </si>
  <si>
    <t>Scroll to the bottom of the match list; match list scrolled to bottom</t>
  </si>
  <si>
    <t>Automated test step 3 runs normally</t>
  </si>
  <si>
    <t>Enter search term "Germany" in search bar; results show "France vs Germany"</t>
  </si>
  <si>
    <t>Automated test step 4 runs normally</t>
  </si>
  <si>
    <t>Tap listing "France vs Germany"; navigates to Match Details — Overview sub-page</t>
  </si>
  <si>
    <t>Automated test step 5 runs normally</t>
  </si>
  <si>
    <t>On Match Details (Overview), all prices are shown in 2 decimal places</t>
  </si>
  <si>
    <t>Automated test step 6 runs normally</t>
  </si>
  <si>
    <t>Tap "Select Seats"; Seat Map tab is shown</t>
  </si>
  <si>
    <t>Automated test step 7 runs normally</t>
  </si>
  <si>
    <t>Tap a Taken seat "A3"; no effect — seat stays Taken, summary card stays empty, no crash/navigation</t>
  </si>
  <si>
    <t>Automated test step 8 runs normally</t>
  </si>
  <si>
    <t>Scroll grid to find seat "VIP3" and tap it; summary shows "Selected: VIP3"</t>
  </si>
  <si>
    <t>Automated test step 9 runs normally</t>
  </si>
  <si>
    <t>Tap seat "B2" (Free); summary shows "Selected: VIP3, B2"</t>
  </si>
  <si>
    <t>Automated test step 10 runs normally</t>
  </si>
  <si>
    <t>Tap seat "B1" (Free); summary shows "Selected: VIP3, B2, B1"</t>
  </si>
  <si>
    <t>Automated test step 11 runs normally</t>
  </si>
  <si>
    <t>Tap seat "C2" (Free); summary shows "Selected: VIP3, B2, B1, C2"</t>
  </si>
  <si>
    <t>Automated test step 12 runs normally</t>
  </si>
  <si>
    <t>Tap seat "A2" (Free); summary shows "Selected: VIP3, B2, B1, C2, A2"</t>
  </si>
  <si>
    <t>Automated test step 13 runs normally</t>
  </si>
  <si>
    <t>Tap seat "D2" (Free); summary shows "Selected: VIP3, B2, B1, C2, A2, D2"</t>
  </si>
  <si>
    <t>Automated test step 14 runs normally</t>
  </si>
  <si>
    <t>Tap seat "D3" (Free); no effect — seat D3 remains Free, summary unchanged, no crash/navigation</t>
  </si>
  <si>
    <t>Automated test step 15 runs normally</t>
  </si>
  <si>
    <t>Tap seat "VIP3" again to deselect; summary updates to show only "Selected: B2, B1, C2, A2, D2"</t>
  </si>
  <si>
    <t>Automated test step 16 runs normally</t>
  </si>
  <si>
    <t>Tap "Confirm Seats"; navigates to Booking Confirm showing "France vs Germany" and seats B2, B1, C2, A2, D2</t>
  </si>
  <si>
    <t>Automated test step 17 runs normally</t>
  </si>
  <si>
    <t>On Booking Confirm, "Bank Transfer" is selected in Payment Method by default</t>
  </si>
  <si>
    <t>Automated test step 18 runs normally</t>
  </si>
  <si>
    <t>On Booking Confirm, Total shows 435.00</t>
  </si>
  <si>
    <t>Automated test step 19 runs normally</t>
  </si>
  <si>
    <t>Enter Full Name "Marco Rossi"; field displays "Marco Rossi"</t>
  </si>
  <si>
    <t>Automated test step 20 runs normally</t>
  </si>
  <si>
    <t>Enter Passport Number "E123"; field displays "E123"</t>
  </si>
  <si>
    <t>Automated test step 21 runs normally</t>
  </si>
  <si>
    <t>Toggle "Fan Zone Pass?" ON; toggle switches ON; estimated total increases by $20</t>
  </si>
  <si>
    <t>Automated test step 22 runs normally</t>
  </si>
  <si>
    <t>Toggle "Merchandise Bundle?" ON; toggle switches ON; estimated total increases by $50</t>
  </si>
  <si>
    <t>Automated test step 23 runs normally</t>
  </si>
  <si>
    <t>Tap "Confirm Booking" with invalid Passport Number; error message pop-up indicates invalid passport number</t>
  </si>
  <si>
    <t>Automated test step 24 runs normally</t>
  </si>
  <si>
    <t>Correct Passport Number to "E1234567"; displayed in the correct format</t>
  </si>
  <si>
    <t>Automated test step 25 runs normally</t>
  </si>
  <si>
    <t>Wait 20+ seconds (30s+ since page load) then tap "Confirm Booking"; Timeout dialog appears instead of confirmation dialog</t>
  </si>
  <si>
    <t>Automated test step 26 runs normally</t>
  </si>
  <si>
    <t>Dismiss the Timeout dialog; Fan details and selected seats cleared, navigates back to Match Details (Seat Map)</t>
  </si>
  <si>
    <t>Automated test step 27 runs normally</t>
  </si>
  <si>
    <t>Re-enter Full Name "Marco Rossi", Passport Number "E1234567", toggle Fan Zone Pass ON, toggle Merchandise Bundle ON, select PayPal, tap "Confirm Booking"; "Confirm your booking?" dialog appears</t>
  </si>
  <si>
    <t>Automated test step 28 runs normally</t>
  </si>
  <si>
    <t>Tap "Yes" in the dialog; navigates to My Tickets</t>
  </si>
  <si>
    <t>Automated test step 29 runs normally</t>
  </si>
  <si>
    <t>Send app to background, wait briefly, bring back to foreground and navigate to My Tickets; same ticket still displays with no data loss</t>
  </si>
  <si>
    <t>Automated test step 30 runs normally</t>
  </si>
  <si>
    <t>Navigate to Profile page via bottom navigation bar; Profile page is displayed</t>
  </si>
  <si>
    <t>Automated test step 31 runs normally</t>
  </si>
  <si>
    <t>Toggle "Fan Zone Pass Default" ON; toggle switches ON with no data loss after app lifecycle transition</t>
  </si>
  <si>
    <t>Automated test step 32 runs normally</t>
  </si>
  <si>
    <t>Tap "Home" from navigation; navigates to Home</t>
  </si>
  <si>
    <t>Automated test step 33 runs normally</t>
  </si>
  <si>
    <t>Tap listing "Brazil vs Germany"; navigates to Match Details — Overview sub-page</t>
  </si>
  <si>
    <t>Automated test step 34 runs normally</t>
  </si>
  <si>
    <t>Automated test step 35 runs normally</t>
  </si>
  <si>
    <t>Tap seat "D1" (Free); summary shows "Selected: D1"</t>
  </si>
  <si>
    <t>Automated test step 36 runs normally</t>
  </si>
  <si>
    <t>Tap "Confirm Seats"; navigates to Booking Confirm showing "Brazil vs Germany" and seat D1</t>
  </si>
  <si>
    <t>Automated test step 37 runs normally</t>
  </si>
  <si>
    <t>On Booking Confirm, "PayPal" is selected in Payment Method</t>
  </si>
  <si>
    <t>Automated test step 38 runs normally</t>
  </si>
  <si>
    <t>On Booking Confirm, "Fan Zone Pass?" toggle is ON</t>
  </si>
  <si>
    <t>Automated test readable</t>
  </si>
  <si>
    <t>All steps held on for at least 5 seconds; "Step No: $Steps_No,$Description of the Action" logged in the output area (terminal/debug area/console).</t>
  </si>
  <si>
    <t>Criterion E</t>
  </si>
  <si>
    <t>Criterion F</t>
  </si>
  <si>
    <t>Criterion G</t>
  </si>
  <si>
    <t>Criterion H</t>
  </si>
  <si>
    <t>Criterion I</t>
  </si>
  <si>
    <t>Competition</t>
  </si>
  <si>
    <t>Total Mark</t>
  </si>
  <si>
    <t>Calculations</t>
  </si>
  <si>
    <t>1.Title bar displays app name "GoalPass" and a profile icon in the top right corner;[0.10]
2.Homepage contains search bar, availability summary row, and scrollable match list;[0.10]
3.Search bar hint text "Search a team or stadium"; supports partial match, non case-sensitive;[0.15]
4.Keyboard IME action is Search;[0.15]
5.Availability summary row shows: Open Matches, Sold Out, VIP Seats Remaining;[0.10]
6.Each match item: match name, stadium name/distance "X.X km from city centre", kickoff date/time, price "From $X.XX", status badge (Open/Sold Out), Book button;[0.15]
7.Tapping Book on match_id 2026001 or 2026008 navigates to its Match Details page;[0.10]
8.Bottom nav: Home, My Tickets, Profile — each navigates correctly;[0.10]
9.Tapping profile icon navigates to Profile page.[0.05]</t>
  </si>
  <si>
    <t>1.Title bar contains back button and text "Match Details";[0.10]
2.Tapping back button navigates to the previous page (Home);[0.10]
3.Two tabs present: Overview and Seat Map, each navigates to its sub-page.[0.10]</t>
  </si>
  <si>
    <t>1.Availability summary row shows three counters: Free, Taken, VIP;[0.10]
2.Pricing area: title "Pricing"; list of ticket categories (Category 3, Category 2, Category 1, VIP); each row shows category label and formatted price "$ X.XX";[0.10]
3.Amenities area: filter chips (e.g. Parking, Fan Zone, Wheelchair Access, Merchandise); active amenities visually highlighted;[0.10]
4."Select Seats" button navigates to the Seat Map tab.[0.10]</t>
  </si>
  <si>
    <t>1.Seat grid displayed with each cell showing its seat ID (e.g. "A1", "VIP3");[0.10]
2.Each seat visually distinguished by status using colour or icon: Free, Taken;[0.10]
3.Legend displayed indicating the meaning of each seat status;[0.10]
4.Tapping a Free or available VIP seat selects it; summary card below the grid updates to show "Selected: [Seat ID, Seat ID, ...]" listing every currently selected seat;[0.20]
5.Tapping an already-selected seat deselects it and removes it from the summary card (clears if it was the only selection);[0.10]
6.Taken seats cannot be selected;[0.10]
7.Up to 6 seats may be selected in a single booking;[0.10]
8."Confirm Seats" button is displayed below the summary card; disabled or hidden when no seat is selected;[0.10]
9.Tapping "Confirm Seats" navigates to the Booking Confirm page, passing the selected match and the full list of selected seat IDs.[0.10]</t>
  </si>
  <si>
    <t>1.Title bar includes a back button and the text "Booking Confirm";[0.05]
2."You are going to book:" label and a summary card showing the match name, stadium, and selected seat IDs displayed at the top;[0.10]
3.Fan Details area: "Full Name" input; "Passport Number" input; "Fan Zone Pass?" toggle (+$20); "Merchandise bundle?" toggle (+$50, default Off); "Payment Method" radio group (Credit Card, PayPal, Bank Transfer — default Bank Transfer);[0.20]
4.Estimated total price automatically calculated;[0.15]
5."Confirm Booking" button.[0.10]</t>
  </si>
  <si>
    <t>1.Title bar includes the text "My Tickets";[0.05]
2."List of my tickets" subtitle;[0.05]
3.Ticket records list, ordered newest first;[0.15]
4.Each item: numerical sequence (from 1), stadium name, match name and seat IDs, kickoff date/time (formatted as: Jun 20, 2026 · 18:00), ticket quantity, total price.[0.15]</t>
  </si>
  <si>
    <t>1.Title bar includes the text "Profile";[0.05]
2.User avatar circle shows first letter of the fan's name, alongside display name and email;[0.15]
3.Preferences section: Favourite Team Alerts selection, and toggles for Fan Zone Pass Default and Remember Payment Method;[0.15]
4.All selection and toggle states persisted and restored correctly when app is relaunched.[0.15]</t>
  </si>
  <si>
    <t>1.Length: minimum 2 characters, maximum 40 characters;[0.05]
2.Required.[0.05]</t>
  </si>
  <si>
    <t>1.Format: [A-Z]{1}[0-9]{7};[0.05]
2.Required; only valid passport-number characters accepted.[0.05]</t>
  </si>
  <si>
    <t>1.Total recalculates whenever Fan Zone Pass or Merchandise Bundle selection changes;[0.10]
Formula: Total = sum(price of each selected seat's category) + (Fan Zone Pass fee if applicable) + (Merchandise Bundle fee if applicable);[0.10]
2.Category pricing mapped correctly (Category 1: Row A; Category 2: Row B, C; Category 3: Row D).[0.10]</t>
  </si>
  <si>
    <t>1.Tapping "Confirm Booking" triggers all validation;[0.05]
2.If an error is detected, a corresponding error prompt is displayed;[0.05]
3.If validation succeeds and "Confirm Booking" is tapped within 30 seconds since the page loaded, "Confirm Purchase" dialog appears; "No" closes the dialog; "Yes" saves the booking, closes the dialog, and navigates to My Tickets;[0.15]
4.If validation succeeds and "Confirm Booking" is tapped after 30 seconds since the page loaded, "Timeout" dialog appears; Fan details and selected seats are cleared and navigates back to Match Details (Seat Map).[0.15]</t>
  </si>
  <si>
    <t>All three preference selections on the Profile page (Favourite Team Alerts, Fan Zone Pass Default, Remember Payment Method) saved immediately when changed; restored correctly after force-close and relaunch. [0.10]</t>
  </si>
  <si>
    <t>Favourite Team Alerts: Brazil; Fan Zone Pass Default: OFF; Remember Payment: ON, Bank Transfer selected by default.[0.10]</t>
  </si>
  <si>
    <t>Completed bookings stored locally; appear in My Tickets after app restart.[0.10]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</si>
</sst>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8"/>
      <name val="Arial"/>
      <charset val="1"/>
    </font>
    <font>
      <b/>
      <sz val="11"/>
      <name val="Arial"/>
      <charset val="1"/>
    </font>
    <font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4" fontId="0" fillId="0" borderId="0" xfId="0" applyNumberForma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B1" zoomScale="68" zoomScaleNormal="68" workbookViewId="0">
      <selection activeCell="K21" sqref="K21"/>
    </sheetView>
  </sheetViews>
  <sheetFormatPr defaultColWidth="8.69140625" defaultRowHeight="14.6" x14ac:dyDescent="0.4"/>
  <cols>
    <col min="1" max="1" width="7.69140625" customWidth="1"/>
    <col min="2" max="2" width="39" customWidth="1"/>
    <col min="3" max="3" width="7.765625" customWidth="1"/>
    <col min="4" max="4" width="8.4609375" customWidth="1"/>
    <col min="5" max="5" width="52.23046875" customWidth="1"/>
    <col min="6" max="6" width="8" customWidth="1"/>
    <col min="7" max="7" width="46.69140625" customWidth="1"/>
    <col min="8" max="8" width="15.53515625" customWidth="1"/>
    <col min="9" max="9" width="11.3046875" customWidth="1"/>
    <col min="10" max="10" width="11" customWidth="1"/>
    <col min="11" max="11" width="10.69140625" customWidth="1"/>
    <col min="12" max="12" width="18.4609375" customWidth="1"/>
    <col min="13" max="13" width="9.3828125" bestFit="1" customWidth="1"/>
  </cols>
  <sheetData>
    <row r="1" spans="1:11" ht="22.75" customHeight="1" x14ac:dyDescent="0.4">
      <c r="A1" s="1" t="s">
        <v>0</v>
      </c>
    </row>
    <row r="3" spans="1:11" x14ac:dyDescent="0.4">
      <c r="A3" s="2" t="s">
        <v>1</v>
      </c>
    </row>
    <row r="4" spans="1:11" ht="24.9" customHeight="1" x14ac:dyDescent="0.4">
      <c r="A4" s="3" t="s">
        <v>2</v>
      </c>
      <c r="B4" s="3" t="s">
        <v>3</v>
      </c>
      <c r="I4" s="3" t="s">
        <v>3</v>
      </c>
      <c r="J4" s="3" t="s">
        <v>4</v>
      </c>
      <c r="K4" s="3" t="s">
        <v>5</v>
      </c>
    </row>
    <row r="5" spans="1:11" x14ac:dyDescent="0.4">
      <c r="A5" s="4" t="s">
        <v>6</v>
      </c>
      <c r="B5" s="4" t="s">
        <v>7</v>
      </c>
      <c r="I5" s="4">
        <v>8</v>
      </c>
      <c r="J5" s="4">
        <f>SUMIF(I18:I319,A5,K18:K319)</f>
        <v>0</v>
      </c>
      <c r="K5" s="4">
        <f t="shared" ref="K5:K11" si="0">ABS(I5-J5)</f>
        <v>8</v>
      </c>
    </row>
    <row r="6" spans="1:11" x14ac:dyDescent="0.4">
      <c r="A6" s="4" t="s">
        <v>8</v>
      </c>
      <c r="B6" s="4" t="s">
        <v>9</v>
      </c>
      <c r="I6" s="4">
        <v>7</v>
      </c>
      <c r="J6" s="4">
        <f>SUMIF(I18:I319,A6,K18:K319)</f>
        <v>0</v>
      </c>
      <c r="K6" s="4">
        <f t="shared" si="0"/>
        <v>7</v>
      </c>
    </row>
    <row r="7" spans="1:11" x14ac:dyDescent="0.4">
      <c r="A7" s="4" t="s">
        <v>10</v>
      </c>
      <c r="B7" s="4" t="s">
        <v>11</v>
      </c>
      <c r="I7" s="4">
        <v>5</v>
      </c>
      <c r="J7" s="4">
        <f>SUMIF(I18:I319,A7,K18:K319)</f>
        <v>0</v>
      </c>
      <c r="K7" s="4">
        <f t="shared" si="0"/>
        <v>5</v>
      </c>
    </row>
    <row r="8" spans="1:11" x14ac:dyDescent="0.4">
      <c r="A8" s="4" t="s">
        <v>12</v>
      </c>
      <c r="B8" s="4" t="s">
        <v>13</v>
      </c>
      <c r="I8" s="4">
        <v>25</v>
      </c>
      <c r="J8" s="4">
        <f>SUMIF(I18:I319,A8,K18:K319)</f>
        <v>0</v>
      </c>
      <c r="K8" s="4">
        <f t="shared" si="0"/>
        <v>25</v>
      </c>
    </row>
    <row r="9" spans="1:11" x14ac:dyDescent="0.4">
      <c r="A9" s="4" t="s">
        <v>14</v>
      </c>
      <c r="B9" s="4" t="s">
        <v>15</v>
      </c>
      <c r="I9" s="4">
        <v>15</v>
      </c>
      <c r="J9" s="4">
        <f>SUMIF(I18:I319,A9,K18:K319)</f>
        <v>0</v>
      </c>
      <c r="K9" s="4">
        <f t="shared" si="0"/>
        <v>15</v>
      </c>
    </row>
    <row r="10" spans="1:11" x14ac:dyDescent="0.4">
      <c r="A10" s="4" t="s">
        <v>16</v>
      </c>
      <c r="B10" s="4" t="s">
        <v>17</v>
      </c>
      <c r="I10" s="4">
        <v>30</v>
      </c>
      <c r="J10" s="4">
        <f>SUMIF(I18:I319,A10,K18:K319)</f>
        <v>0</v>
      </c>
      <c r="K10" s="4">
        <f t="shared" si="0"/>
        <v>30</v>
      </c>
    </row>
    <row r="11" spans="1:11" x14ac:dyDescent="0.4">
      <c r="A11" s="4" t="s">
        <v>18</v>
      </c>
      <c r="B11" s="4" t="s">
        <v>19</v>
      </c>
      <c r="I11" s="4">
        <v>10</v>
      </c>
      <c r="J11" s="4">
        <f>SUMIF(I18:I319,A11,K18:K319)</f>
        <v>0</v>
      </c>
      <c r="K11" s="4">
        <f t="shared" si="0"/>
        <v>10</v>
      </c>
    </row>
    <row r="12" spans="1:11" x14ac:dyDescent="0.4">
      <c r="I12" s="4" t="s">
        <v>20</v>
      </c>
      <c r="K12" s="4">
        <f>SUM(K5:K11)</f>
        <v>100</v>
      </c>
    </row>
    <row r="15" spans="1:11" x14ac:dyDescent="0.4">
      <c r="A15" s="2" t="s">
        <v>21</v>
      </c>
    </row>
    <row r="16" spans="1:11" x14ac:dyDescent="0.4">
      <c r="A16" s="3" t="s">
        <v>22</v>
      </c>
      <c r="B16" s="3" t="s">
        <v>23</v>
      </c>
      <c r="K16" s="3" t="s">
        <v>24</v>
      </c>
    </row>
    <row r="17" spans="1:13" x14ac:dyDescent="0.4">
      <c r="A17" s="4" t="s">
        <v>25</v>
      </c>
      <c r="B17" s="4" t="s">
        <v>26</v>
      </c>
      <c r="K17" s="4">
        <v>10</v>
      </c>
      <c r="M17" s="9"/>
    </row>
    <row r="19" spans="1:13" ht="62.15" customHeight="1" x14ac:dyDescent="0.4">
      <c r="A19" s="4" t="s">
        <v>27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32</v>
      </c>
      <c r="G19" s="4" t="s">
        <v>33</v>
      </c>
      <c r="H19" s="4" t="s">
        <v>34</v>
      </c>
      <c r="I19" s="4" t="s">
        <v>35</v>
      </c>
      <c r="J19" s="4" t="s">
        <v>36</v>
      </c>
      <c r="K19" s="4" t="s">
        <v>37</v>
      </c>
      <c r="L19" s="4" t="s">
        <v>38</v>
      </c>
      <c r="M19" s="4" t="s">
        <v>39</v>
      </c>
    </row>
    <row r="20" spans="1:13" x14ac:dyDescent="0.4">
      <c r="A20" s="6" t="s">
        <v>40</v>
      </c>
      <c r="B20" t="s">
        <v>41</v>
      </c>
      <c r="C20">
        <v>4</v>
      </c>
    </row>
    <row r="21" spans="1:13" x14ac:dyDescent="0.4">
      <c r="D21" s="7" t="s">
        <v>42</v>
      </c>
      <c r="E21" s="8" t="s">
        <v>43</v>
      </c>
      <c r="G21" s="8" t="s">
        <v>44</v>
      </c>
      <c r="I21" s="4">
        <v>3</v>
      </c>
      <c r="M21" s="4">
        <v>0.2</v>
      </c>
    </row>
    <row r="22" spans="1:13" x14ac:dyDescent="0.4">
      <c r="D22" s="7" t="s">
        <v>42</v>
      </c>
      <c r="E22" s="8" t="s">
        <v>43</v>
      </c>
      <c r="G22" s="8" t="s">
        <v>45</v>
      </c>
      <c r="I22" s="4">
        <v>2</v>
      </c>
      <c r="M22" s="4">
        <v>0.2</v>
      </c>
    </row>
    <row r="23" spans="1:13" x14ac:dyDescent="0.4">
      <c r="D23" s="7" t="s">
        <v>42</v>
      </c>
      <c r="E23" s="8" t="s">
        <v>43</v>
      </c>
      <c r="G23" s="8" t="s">
        <v>46</v>
      </c>
      <c r="I23" s="4">
        <v>1</v>
      </c>
      <c r="M23" s="4">
        <v>0.2</v>
      </c>
    </row>
    <row r="24" spans="1:13" ht="174" customHeight="1" x14ac:dyDescent="0.4">
      <c r="D24" s="7" t="s">
        <v>42</v>
      </c>
      <c r="E24" s="8" t="s">
        <v>47</v>
      </c>
      <c r="G24" s="8" t="s">
        <v>155</v>
      </c>
      <c r="I24" s="4">
        <v>6</v>
      </c>
      <c r="M24" s="4">
        <v>0.8</v>
      </c>
    </row>
    <row r="25" spans="1:13" ht="62.15" customHeight="1" x14ac:dyDescent="0.4">
      <c r="D25" s="7" t="s">
        <v>42</v>
      </c>
      <c r="E25" s="8" t="s">
        <v>48</v>
      </c>
      <c r="G25" s="8" t="s">
        <v>156</v>
      </c>
      <c r="I25" s="4">
        <v>6</v>
      </c>
      <c r="M25" s="4">
        <v>0.3</v>
      </c>
    </row>
    <row r="26" spans="1:13" ht="111.9" customHeight="1" x14ac:dyDescent="0.4">
      <c r="D26" s="7" t="s">
        <v>42</v>
      </c>
      <c r="E26" s="8" t="s">
        <v>49</v>
      </c>
      <c r="G26" s="8" t="s">
        <v>157</v>
      </c>
      <c r="I26" s="4">
        <v>6</v>
      </c>
      <c r="M26" s="4">
        <v>0.4</v>
      </c>
    </row>
    <row r="27" spans="1:13" ht="248.6" x14ac:dyDescent="0.4">
      <c r="D27" s="7" t="s">
        <v>42</v>
      </c>
      <c r="E27" s="8" t="s">
        <v>50</v>
      </c>
      <c r="G27" s="8" t="s">
        <v>158</v>
      </c>
      <c r="I27" s="4">
        <v>6</v>
      </c>
      <c r="M27" s="4">
        <v>1</v>
      </c>
    </row>
    <row r="28" spans="1:13" ht="159.9" customHeight="1" x14ac:dyDescent="0.4">
      <c r="D28" s="7" t="s">
        <v>42</v>
      </c>
      <c r="E28" s="8" t="s">
        <v>51</v>
      </c>
      <c r="G28" s="8" t="s">
        <v>159</v>
      </c>
      <c r="I28" s="4">
        <v>4</v>
      </c>
      <c r="M28" s="4">
        <v>0.6</v>
      </c>
    </row>
    <row r="29" spans="1:13" ht="83.6" customHeight="1" x14ac:dyDescent="0.4">
      <c r="D29" s="7" t="s">
        <v>42</v>
      </c>
      <c r="E29" s="8" t="s">
        <v>52</v>
      </c>
      <c r="G29" s="8" t="s">
        <v>160</v>
      </c>
      <c r="I29" s="4">
        <v>6</v>
      </c>
      <c r="M29" s="4">
        <v>0.4</v>
      </c>
    </row>
    <row r="30" spans="1:13" ht="99.45" x14ac:dyDescent="0.4">
      <c r="D30" s="7" t="s">
        <v>42</v>
      </c>
      <c r="E30" s="8" t="s">
        <v>53</v>
      </c>
      <c r="G30" s="8" t="s">
        <v>161</v>
      </c>
      <c r="I30" s="4">
        <v>6</v>
      </c>
      <c r="M30" s="4">
        <v>0.5</v>
      </c>
    </row>
    <row r="31" spans="1:13" ht="37.299999999999997" customHeight="1" x14ac:dyDescent="0.4">
      <c r="D31" s="7" t="s">
        <v>42</v>
      </c>
      <c r="E31" s="8" t="s">
        <v>54</v>
      </c>
      <c r="G31" s="8" t="s">
        <v>162</v>
      </c>
      <c r="I31" s="4">
        <v>5</v>
      </c>
      <c r="M31" s="4">
        <v>0.1</v>
      </c>
    </row>
    <row r="32" spans="1:13" ht="37.299999999999997" customHeight="1" x14ac:dyDescent="0.4">
      <c r="D32" s="7" t="s">
        <v>42</v>
      </c>
      <c r="E32" s="8" t="s">
        <v>55</v>
      </c>
      <c r="G32" s="8" t="s">
        <v>163</v>
      </c>
      <c r="I32" s="4">
        <v>5</v>
      </c>
      <c r="M32" s="4">
        <v>0.1</v>
      </c>
    </row>
    <row r="33" spans="1:13" ht="87" x14ac:dyDescent="0.4">
      <c r="D33" s="7" t="s">
        <v>42</v>
      </c>
      <c r="E33" s="8" t="s">
        <v>56</v>
      </c>
      <c r="G33" s="8" t="s">
        <v>164</v>
      </c>
      <c r="I33" s="4">
        <v>5</v>
      </c>
      <c r="M33" s="4">
        <v>0.3</v>
      </c>
    </row>
    <row r="34" spans="1:13" ht="149.15" x14ac:dyDescent="0.4">
      <c r="D34" s="7" t="s">
        <v>42</v>
      </c>
      <c r="E34" s="8" t="s">
        <v>57</v>
      </c>
      <c r="G34" s="8" t="s">
        <v>165</v>
      </c>
      <c r="I34" s="4">
        <v>5</v>
      </c>
      <c r="M34" s="4">
        <v>0.4</v>
      </c>
    </row>
    <row r="35" spans="1:13" ht="37.299999999999997" customHeight="1" x14ac:dyDescent="0.4">
      <c r="D35" s="7" t="s">
        <v>42</v>
      </c>
      <c r="E35" s="8" t="s">
        <v>58</v>
      </c>
      <c r="G35" s="8" t="s">
        <v>59</v>
      </c>
      <c r="I35" s="4">
        <v>4</v>
      </c>
      <c r="M35" s="4">
        <v>0.1</v>
      </c>
    </row>
    <row r="36" spans="1:13" ht="62.15" customHeight="1" x14ac:dyDescent="0.4">
      <c r="D36" s="7" t="s">
        <v>42</v>
      </c>
      <c r="E36" s="8" t="s">
        <v>60</v>
      </c>
      <c r="G36" s="8" t="s">
        <v>166</v>
      </c>
      <c r="I36" s="4">
        <v>4</v>
      </c>
      <c r="M36" s="4">
        <v>0.1</v>
      </c>
    </row>
    <row r="37" spans="1:13" ht="62.15" customHeight="1" x14ac:dyDescent="0.4">
      <c r="D37" s="7" t="s">
        <v>42</v>
      </c>
      <c r="E37" s="8" t="s">
        <v>61</v>
      </c>
      <c r="G37" s="8" t="s">
        <v>167</v>
      </c>
      <c r="I37" s="4">
        <v>4</v>
      </c>
      <c r="M37" s="4">
        <v>0.1</v>
      </c>
    </row>
    <row r="38" spans="1:13" ht="37.299999999999997" customHeight="1" x14ac:dyDescent="0.4">
      <c r="D38" s="7" t="s">
        <v>42</v>
      </c>
      <c r="E38" s="8" t="s">
        <v>62</v>
      </c>
      <c r="G38" s="8" t="s">
        <v>168</v>
      </c>
      <c r="I38" s="4">
        <v>4</v>
      </c>
      <c r="M38" s="4">
        <v>0.1</v>
      </c>
    </row>
    <row r="39" spans="1:13" ht="37.299999999999997" customHeight="1" x14ac:dyDescent="0.4">
      <c r="D39" s="7" t="s">
        <v>63</v>
      </c>
      <c r="E39" s="8" t="s">
        <v>64</v>
      </c>
      <c r="G39" s="8"/>
      <c r="I39" s="4"/>
      <c r="M39" s="4">
        <v>0.1</v>
      </c>
    </row>
    <row r="40" spans="1:13" x14ac:dyDescent="0.4">
      <c r="D40" s="7"/>
      <c r="E40" s="8"/>
      <c r="F40" s="4">
        <v>0</v>
      </c>
      <c r="G40" s="8" t="s">
        <v>65</v>
      </c>
      <c r="I40" s="4"/>
      <c r="M40" s="4"/>
    </row>
    <row r="41" spans="1:13" x14ac:dyDescent="0.4">
      <c r="D41" s="7"/>
      <c r="E41" s="8"/>
      <c r="F41" s="4">
        <v>0.05</v>
      </c>
      <c r="G41" s="8" t="s">
        <v>66</v>
      </c>
      <c r="K41" s="4"/>
      <c r="M41" s="4"/>
    </row>
    <row r="42" spans="1:13" x14ac:dyDescent="0.4">
      <c r="F42" s="4">
        <v>0.1</v>
      </c>
      <c r="G42" s="8" t="s">
        <v>67</v>
      </c>
    </row>
    <row r="43" spans="1:13" x14ac:dyDescent="0.4">
      <c r="F43" s="4"/>
      <c r="G43" s="8"/>
    </row>
    <row r="44" spans="1:13" x14ac:dyDescent="0.4">
      <c r="A44" s="6" t="s">
        <v>68</v>
      </c>
      <c r="B44" t="s">
        <v>69</v>
      </c>
      <c r="C44">
        <v>4</v>
      </c>
      <c r="F44" s="4"/>
      <c r="G44" s="8"/>
    </row>
    <row r="45" spans="1:13" ht="24.9" customHeight="1" x14ac:dyDescent="0.4">
      <c r="D45" s="7" t="s">
        <v>42</v>
      </c>
      <c r="E45" s="8" t="s">
        <v>70</v>
      </c>
      <c r="G45" s="8" t="s">
        <v>71</v>
      </c>
      <c r="I45" s="4">
        <v>7</v>
      </c>
      <c r="M45" s="4">
        <v>0.15</v>
      </c>
    </row>
    <row r="46" spans="1:13" ht="24.9" customHeight="1" x14ac:dyDescent="0.4">
      <c r="A46" s="6"/>
      <c r="B46" s="6"/>
      <c r="C46" s="6"/>
      <c r="D46" s="7" t="s">
        <v>42</v>
      </c>
      <c r="E46" s="8" t="s">
        <v>72</v>
      </c>
      <c r="G46" s="8" t="s">
        <v>73</v>
      </c>
      <c r="I46" s="4">
        <v>7</v>
      </c>
      <c r="M46" s="4">
        <v>0.1</v>
      </c>
    </row>
    <row r="47" spans="1:13" ht="24.9" customHeight="1" x14ac:dyDescent="0.4">
      <c r="D47" s="7" t="s">
        <v>42</v>
      </c>
      <c r="E47" s="8" t="s">
        <v>74</v>
      </c>
      <c r="G47" s="8" t="s">
        <v>75</v>
      </c>
      <c r="I47" s="4">
        <v>7</v>
      </c>
      <c r="K47" s="10"/>
      <c r="M47" s="4">
        <v>0.1</v>
      </c>
    </row>
    <row r="48" spans="1:13" ht="24.9" customHeight="1" x14ac:dyDescent="0.4">
      <c r="D48" s="7" t="s">
        <v>42</v>
      </c>
      <c r="E48" s="8" t="s">
        <v>76</v>
      </c>
      <c r="G48" s="8" t="s">
        <v>77</v>
      </c>
      <c r="I48" s="4">
        <v>7</v>
      </c>
      <c r="K48" s="10"/>
      <c r="M48" s="4">
        <v>0.1</v>
      </c>
    </row>
    <row r="49" spans="4:13" ht="24.9" customHeight="1" x14ac:dyDescent="0.4">
      <c r="D49" s="7" t="s">
        <v>42</v>
      </c>
      <c r="E49" s="8" t="s">
        <v>78</v>
      </c>
      <c r="G49" s="8" t="s">
        <v>79</v>
      </c>
      <c r="I49" s="4">
        <v>7</v>
      </c>
      <c r="K49" s="10"/>
      <c r="M49" s="4">
        <v>0.1</v>
      </c>
    </row>
    <row r="50" spans="4:13" ht="24.9" customHeight="1" x14ac:dyDescent="0.4">
      <c r="D50" s="7" t="s">
        <v>42</v>
      </c>
      <c r="E50" s="8" t="s">
        <v>80</v>
      </c>
      <c r="G50" s="8" t="s">
        <v>81</v>
      </c>
      <c r="I50" s="4">
        <v>7</v>
      </c>
      <c r="K50" s="10"/>
      <c r="M50" s="4">
        <v>0.1</v>
      </c>
    </row>
    <row r="51" spans="4:13" ht="24.9" customHeight="1" x14ac:dyDescent="0.4">
      <c r="D51" s="7" t="s">
        <v>42</v>
      </c>
      <c r="E51" s="8" t="s">
        <v>82</v>
      </c>
      <c r="G51" s="8" t="s">
        <v>83</v>
      </c>
      <c r="I51" s="4">
        <v>7</v>
      </c>
      <c r="K51" s="10"/>
      <c r="M51" s="4">
        <v>0.1</v>
      </c>
    </row>
    <row r="52" spans="4:13" ht="24.9" customHeight="1" x14ac:dyDescent="0.4">
      <c r="D52" s="7" t="s">
        <v>42</v>
      </c>
      <c r="E52" s="8" t="s">
        <v>84</v>
      </c>
      <c r="G52" s="8" t="s">
        <v>85</v>
      </c>
      <c r="I52" s="4">
        <v>7</v>
      </c>
      <c r="K52" s="10"/>
      <c r="M52" s="4">
        <v>0.1</v>
      </c>
    </row>
    <row r="53" spans="4:13" ht="24.9" customHeight="1" x14ac:dyDescent="0.4">
      <c r="D53" s="7" t="s">
        <v>42</v>
      </c>
      <c r="E53" s="8" t="s">
        <v>86</v>
      </c>
      <c r="G53" s="8" t="s">
        <v>87</v>
      </c>
      <c r="I53" s="4">
        <v>7</v>
      </c>
      <c r="K53" s="10"/>
      <c r="M53" s="4">
        <v>0.1</v>
      </c>
    </row>
    <row r="54" spans="4:13" ht="24.9" customHeight="1" x14ac:dyDescent="0.4">
      <c r="D54" s="7" t="s">
        <v>42</v>
      </c>
      <c r="E54" s="8" t="s">
        <v>88</v>
      </c>
      <c r="G54" s="8" t="s">
        <v>89</v>
      </c>
      <c r="I54" s="4">
        <v>7</v>
      </c>
      <c r="K54" s="10"/>
      <c r="M54" s="4">
        <v>0.1</v>
      </c>
    </row>
    <row r="55" spans="4:13" ht="24.9" customHeight="1" x14ac:dyDescent="0.4">
      <c r="D55" s="7" t="s">
        <v>42</v>
      </c>
      <c r="E55" s="8" t="s">
        <v>90</v>
      </c>
      <c r="G55" s="8" t="s">
        <v>91</v>
      </c>
      <c r="I55" s="4">
        <v>7</v>
      </c>
      <c r="K55" s="10"/>
      <c r="M55" s="4">
        <v>0.1</v>
      </c>
    </row>
    <row r="56" spans="4:13" ht="24.9" customHeight="1" x14ac:dyDescent="0.4">
      <c r="D56" s="7" t="s">
        <v>42</v>
      </c>
      <c r="E56" s="8" t="s">
        <v>92</v>
      </c>
      <c r="G56" s="8" t="s">
        <v>93</v>
      </c>
      <c r="I56" s="4">
        <v>7</v>
      </c>
      <c r="K56" s="10"/>
      <c r="M56" s="4">
        <v>0.1</v>
      </c>
    </row>
    <row r="57" spans="4:13" ht="24.9" customHeight="1" x14ac:dyDescent="0.4">
      <c r="D57" s="7" t="s">
        <v>42</v>
      </c>
      <c r="E57" s="8" t="s">
        <v>94</v>
      </c>
      <c r="G57" s="8" t="s">
        <v>95</v>
      </c>
      <c r="I57" s="4">
        <v>7</v>
      </c>
      <c r="K57" s="10"/>
      <c r="M57" s="4">
        <v>0.1</v>
      </c>
    </row>
    <row r="58" spans="4:13" ht="24.9" customHeight="1" x14ac:dyDescent="0.4">
      <c r="D58" s="7" t="s">
        <v>42</v>
      </c>
      <c r="E58" s="8" t="s">
        <v>96</v>
      </c>
      <c r="G58" s="8" t="s">
        <v>97</v>
      </c>
      <c r="I58" s="4">
        <v>7</v>
      </c>
      <c r="K58" s="10"/>
      <c r="M58" s="4">
        <v>0.1</v>
      </c>
    </row>
    <row r="59" spans="4:13" ht="24.9" customHeight="1" x14ac:dyDescent="0.4">
      <c r="D59" s="7" t="s">
        <v>42</v>
      </c>
      <c r="E59" s="8" t="s">
        <v>98</v>
      </c>
      <c r="G59" s="8" t="s">
        <v>99</v>
      </c>
      <c r="I59" s="4">
        <v>7</v>
      </c>
      <c r="K59" s="10"/>
      <c r="M59" s="4">
        <v>0.1</v>
      </c>
    </row>
    <row r="60" spans="4:13" ht="24.9" customHeight="1" x14ac:dyDescent="0.4">
      <c r="D60" s="7" t="s">
        <v>42</v>
      </c>
      <c r="E60" s="8" t="s">
        <v>100</v>
      </c>
      <c r="G60" s="8" t="s">
        <v>101</v>
      </c>
      <c r="I60" s="4">
        <v>7</v>
      </c>
      <c r="K60" s="10"/>
      <c r="M60" s="4">
        <v>0.1</v>
      </c>
    </row>
    <row r="61" spans="4:13" ht="24.9" customHeight="1" x14ac:dyDescent="0.4">
      <c r="D61" s="7" t="s">
        <v>42</v>
      </c>
      <c r="E61" s="8" t="s">
        <v>102</v>
      </c>
      <c r="G61" s="8" t="s">
        <v>103</v>
      </c>
      <c r="I61" s="4">
        <v>7</v>
      </c>
      <c r="K61" s="10"/>
      <c r="M61" s="4">
        <v>0.1</v>
      </c>
    </row>
    <row r="62" spans="4:13" ht="24.9" customHeight="1" x14ac:dyDescent="0.4">
      <c r="D62" s="7" t="s">
        <v>42</v>
      </c>
      <c r="E62" s="8" t="s">
        <v>104</v>
      </c>
      <c r="G62" s="8" t="s">
        <v>105</v>
      </c>
      <c r="I62" s="4">
        <v>7</v>
      </c>
      <c r="K62" s="10"/>
      <c r="M62" s="4">
        <v>0.1</v>
      </c>
    </row>
    <row r="63" spans="4:13" ht="24.9" customHeight="1" x14ac:dyDescent="0.4">
      <c r="D63" s="7" t="s">
        <v>42</v>
      </c>
      <c r="E63" s="8" t="s">
        <v>106</v>
      </c>
      <c r="G63" s="8" t="s">
        <v>107</v>
      </c>
      <c r="I63" s="4">
        <v>7</v>
      </c>
      <c r="K63" s="10"/>
      <c r="M63" s="4">
        <v>0.1</v>
      </c>
    </row>
    <row r="64" spans="4:13" ht="24.9" customHeight="1" x14ac:dyDescent="0.4">
      <c r="D64" s="7" t="s">
        <v>42</v>
      </c>
      <c r="E64" s="8" t="s">
        <v>108</v>
      </c>
      <c r="G64" s="8" t="s">
        <v>109</v>
      </c>
      <c r="I64" s="4">
        <v>7</v>
      </c>
      <c r="K64" s="10"/>
      <c r="M64" s="4">
        <v>0.1</v>
      </c>
    </row>
    <row r="65" spans="1:13" ht="24.9" customHeight="1" x14ac:dyDescent="0.4">
      <c r="D65" s="7" t="s">
        <v>42</v>
      </c>
      <c r="E65" s="8" t="s">
        <v>110</v>
      </c>
      <c r="G65" s="8" t="s">
        <v>111</v>
      </c>
      <c r="I65" s="4">
        <v>7</v>
      </c>
      <c r="K65" s="10"/>
      <c r="M65" s="4">
        <v>0.1</v>
      </c>
    </row>
    <row r="66" spans="1:13" ht="24.9" customHeight="1" x14ac:dyDescent="0.4">
      <c r="D66" s="7" t="s">
        <v>42</v>
      </c>
      <c r="E66" s="8" t="s">
        <v>112</v>
      </c>
      <c r="G66" s="8" t="s">
        <v>113</v>
      </c>
      <c r="I66" s="4">
        <v>7</v>
      </c>
      <c r="K66" s="10"/>
      <c r="M66" s="4">
        <v>0.1</v>
      </c>
    </row>
    <row r="67" spans="1:13" ht="24.9" customHeight="1" x14ac:dyDescent="0.4">
      <c r="D67" s="7" t="s">
        <v>42</v>
      </c>
      <c r="E67" s="8" t="s">
        <v>114</v>
      </c>
      <c r="G67" s="8" t="s">
        <v>115</v>
      </c>
      <c r="I67" s="4">
        <v>7</v>
      </c>
      <c r="K67" s="10"/>
      <c r="M67" s="4">
        <v>0.1</v>
      </c>
    </row>
    <row r="68" spans="1:13" ht="24.9" customHeight="1" x14ac:dyDescent="0.4">
      <c r="D68" s="7" t="s">
        <v>42</v>
      </c>
      <c r="E68" s="8" t="s">
        <v>116</v>
      </c>
      <c r="G68" s="8" t="s">
        <v>117</v>
      </c>
      <c r="I68" s="4">
        <v>7</v>
      </c>
      <c r="K68" s="10"/>
      <c r="M68" s="4">
        <v>0.1</v>
      </c>
    </row>
    <row r="69" spans="1:13" ht="24.9" customHeight="1" x14ac:dyDescent="0.4">
      <c r="D69" s="7" t="s">
        <v>42</v>
      </c>
      <c r="E69" s="8" t="s">
        <v>118</v>
      </c>
      <c r="G69" s="8" t="s">
        <v>119</v>
      </c>
      <c r="I69" s="4">
        <v>7</v>
      </c>
      <c r="M69" s="4">
        <v>0.1</v>
      </c>
    </row>
    <row r="70" spans="1:13" ht="24.9" customHeight="1" x14ac:dyDescent="0.4">
      <c r="D70" s="7" t="s">
        <v>42</v>
      </c>
      <c r="E70" s="8" t="s">
        <v>120</v>
      </c>
      <c r="G70" s="8" t="s">
        <v>121</v>
      </c>
      <c r="I70" s="4">
        <v>7</v>
      </c>
      <c r="M70" s="4">
        <v>0.1</v>
      </c>
    </row>
    <row r="71" spans="1:13" ht="24.9" customHeight="1" x14ac:dyDescent="0.4">
      <c r="A71" s="3"/>
      <c r="B71" s="3"/>
      <c r="C71" s="3"/>
      <c r="D71" s="7" t="s">
        <v>42</v>
      </c>
      <c r="E71" s="8" t="s">
        <v>122</v>
      </c>
      <c r="F71" s="3"/>
      <c r="G71" s="8" t="s">
        <v>123</v>
      </c>
      <c r="H71" s="3"/>
      <c r="I71" s="4">
        <v>7</v>
      </c>
      <c r="J71" s="3"/>
      <c r="K71" s="3"/>
      <c r="L71" s="5"/>
      <c r="M71" s="4">
        <v>0.1</v>
      </c>
    </row>
    <row r="72" spans="1:13" ht="24.9" customHeight="1" x14ac:dyDescent="0.4">
      <c r="D72" s="7" t="s">
        <v>42</v>
      </c>
      <c r="E72" s="8" t="s">
        <v>124</v>
      </c>
      <c r="G72" s="8" t="s">
        <v>125</v>
      </c>
      <c r="I72" s="4">
        <v>7</v>
      </c>
      <c r="M72" s="4">
        <v>0.1</v>
      </c>
    </row>
    <row r="73" spans="1:13" ht="24.9" customHeight="1" x14ac:dyDescent="0.4">
      <c r="D73" s="7" t="s">
        <v>42</v>
      </c>
      <c r="E73" s="8" t="s">
        <v>126</v>
      </c>
      <c r="G73" s="8" t="s">
        <v>127</v>
      </c>
      <c r="I73" s="4">
        <v>7</v>
      </c>
      <c r="M73" s="4">
        <v>0.1</v>
      </c>
    </row>
    <row r="74" spans="1:13" ht="24.9" customHeight="1" x14ac:dyDescent="0.4">
      <c r="A74" s="3"/>
      <c r="B74" s="3"/>
      <c r="C74" s="3"/>
      <c r="D74" s="7" t="s">
        <v>42</v>
      </c>
      <c r="E74" s="8" t="s">
        <v>128</v>
      </c>
      <c r="F74" s="3"/>
      <c r="G74" s="8" t="s">
        <v>129</v>
      </c>
      <c r="H74" s="3"/>
      <c r="I74" s="4">
        <v>7</v>
      </c>
      <c r="J74" s="3"/>
      <c r="K74" s="3"/>
      <c r="L74" s="5"/>
      <c r="M74" s="4">
        <v>0.1</v>
      </c>
    </row>
    <row r="75" spans="1:13" ht="24.9" customHeight="1" x14ac:dyDescent="0.4">
      <c r="D75" s="7" t="s">
        <v>42</v>
      </c>
      <c r="E75" s="8" t="s">
        <v>130</v>
      </c>
      <c r="G75" s="8" t="s">
        <v>131</v>
      </c>
      <c r="I75" s="4">
        <v>7</v>
      </c>
      <c r="M75" s="4">
        <v>0.1</v>
      </c>
    </row>
    <row r="76" spans="1:13" ht="24.9" customHeight="1" x14ac:dyDescent="0.4">
      <c r="D76" s="7" t="s">
        <v>42</v>
      </c>
      <c r="E76" s="8" t="s">
        <v>132</v>
      </c>
      <c r="G76" s="8" t="s">
        <v>133</v>
      </c>
      <c r="I76" s="4">
        <v>7</v>
      </c>
      <c r="M76" s="4">
        <v>0.1</v>
      </c>
    </row>
    <row r="77" spans="1:13" ht="24.9" customHeight="1" x14ac:dyDescent="0.4">
      <c r="A77" s="3"/>
      <c r="B77" s="3"/>
      <c r="C77" s="3"/>
      <c r="D77" s="7" t="s">
        <v>42</v>
      </c>
      <c r="E77" s="8" t="s">
        <v>134</v>
      </c>
      <c r="F77" s="3"/>
      <c r="G77" s="8" t="s">
        <v>135</v>
      </c>
      <c r="H77" s="3"/>
      <c r="I77" s="4">
        <v>7</v>
      </c>
      <c r="J77" s="3"/>
      <c r="K77" s="3"/>
      <c r="L77" s="5"/>
      <c r="M77" s="4">
        <v>0.1</v>
      </c>
    </row>
    <row r="78" spans="1:13" ht="24.9" customHeight="1" x14ac:dyDescent="0.4">
      <c r="D78" s="7" t="s">
        <v>42</v>
      </c>
      <c r="E78" s="8" t="s">
        <v>136</v>
      </c>
      <c r="G78" s="8" t="s">
        <v>81</v>
      </c>
      <c r="I78" s="4">
        <v>7</v>
      </c>
      <c r="M78" s="4">
        <v>0.1</v>
      </c>
    </row>
    <row r="79" spans="1:13" ht="24.9" customHeight="1" x14ac:dyDescent="0.4">
      <c r="D79" s="7" t="s">
        <v>42</v>
      </c>
      <c r="E79" s="8" t="s">
        <v>137</v>
      </c>
      <c r="G79" s="8" t="s">
        <v>138</v>
      </c>
      <c r="I79" s="4">
        <v>7</v>
      </c>
      <c r="M79" s="4">
        <v>0.1</v>
      </c>
    </row>
    <row r="80" spans="1:13" ht="24.9" customHeight="1" x14ac:dyDescent="0.4">
      <c r="A80" s="3"/>
      <c r="B80" s="3"/>
      <c r="C80" s="3"/>
      <c r="D80" s="7" t="s">
        <v>42</v>
      </c>
      <c r="E80" s="8" t="s">
        <v>139</v>
      </c>
      <c r="F80" s="3"/>
      <c r="G80" s="8" t="s">
        <v>140</v>
      </c>
      <c r="H80" s="3"/>
      <c r="I80" s="4">
        <v>7</v>
      </c>
      <c r="J80" s="3"/>
      <c r="K80" s="3"/>
      <c r="L80" s="5"/>
      <c r="M80" s="4">
        <v>0.1</v>
      </c>
    </row>
    <row r="81" spans="1:13" ht="24.9" customHeight="1" x14ac:dyDescent="0.4">
      <c r="D81" s="7" t="s">
        <v>42</v>
      </c>
      <c r="E81" s="8" t="s">
        <v>141</v>
      </c>
      <c r="G81" s="8" t="s">
        <v>142</v>
      </c>
      <c r="I81" s="4">
        <v>7</v>
      </c>
      <c r="M81" s="4">
        <v>0.1</v>
      </c>
    </row>
    <row r="82" spans="1:13" ht="24.9" customHeight="1" x14ac:dyDescent="0.4">
      <c r="D82" s="7" t="s">
        <v>42</v>
      </c>
      <c r="E82" s="8" t="s">
        <v>143</v>
      </c>
      <c r="G82" s="8" t="s">
        <v>144</v>
      </c>
      <c r="I82" s="4">
        <v>7</v>
      </c>
      <c r="M82" s="4">
        <v>0.1</v>
      </c>
    </row>
    <row r="83" spans="1:13" ht="37.299999999999997" customHeight="1" x14ac:dyDescent="0.4">
      <c r="A83" s="3"/>
      <c r="B83" s="3"/>
      <c r="C83" s="3"/>
      <c r="D83" s="7" t="s">
        <v>42</v>
      </c>
      <c r="E83" s="8" t="s">
        <v>145</v>
      </c>
      <c r="F83" s="3"/>
      <c r="G83" s="8" t="s">
        <v>146</v>
      </c>
      <c r="H83" s="3"/>
      <c r="I83" s="4">
        <v>4</v>
      </c>
      <c r="J83" s="3"/>
      <c r="K83" s="3"/>
      <c r="L83" s="5"/>
      <c r="M83" s="4">
        <v>0.15</v>
      </c>
    </row>
    <row r="85" spans="1:13" ht="62.15" customHeight="1" x14ac:dyDescent="0.4">
      <c r="A85" s="3" t="s">
        <v>27</v>
      </c>
      <c r="B85" s="3" t="s">
        <v>28</v>
      </c>
      <c r="C85" s="3" t="s">
        <v>29</v>
      </c>
      <c r="D85" s="3" t="s">
        <v>30</v>
      </c>
      <c r="E85" s="3" t="s">
        <v>31</v>
      </c>
      <c r="F85" s="3" t="s">
        <v>32</v>
      </c>
      <c r="G85" s="3" t="s">
        <v>33</v>
      </c>
      <c r="H85" s="3" t="s">
        <v>34</v>
      </c>
      <c r="I85" s="3" t="s">
        <v>35</v>
      </c>
      <c r="J85" s="3" t="s">
        <v>36</v>
      </c>
      <c r="K85" s="3" t="s">
        <v>37</v>
      </c>
      <c r="L85" s="5" t="s">
        <v>147</v>
      </c>
      <c r="M85" s="3" t="s">
        <v>39</v>
      </c>
    </row>
    <row r="88" spans="1:13" ht="62.15" customHeight="1" x14ac:dyDescent="0.4">
      <c r="A88" s="3" t="s">
        <v>27</v>
      </c>
      <c r="B88" s="3" t="s">
        <v>28</v>
      </c>
      <c r="C88" s="3" t="s">
        <v>29</v>
      </c>
      <c r="D88" s="3" t="s">
        <v>30</v>
      </c>
      <c r="E88" s="3" t="s">
        <v>31</v>
      </c>
      <c r="F88" s="3" t="s">
        <v>32</v>
      </c>
      <c r="G88" s="3" t="s">
        <v>33</v>
      </c>
      <c r="H88" s="3" t="s">
        <v>34</v>
      </c>
      <c r="I88" s="3" t="s">
        <v>35</v>
      </c>
      <c r="J88" s="3" t="s">
        <v>36</v>
      </c>
      <c r="K88" s="3" t="s">
        <v>37</v>
      </c>
      <c r="L88" s="5" t="s">
        <v>148</v>
      </c>
      <c r="M88" s="3" t="s">
        <v>39</v>
      </c>
    </row>
    <row r="91" spans="1:13" ht="62.15" customHeight="1" x14ac:dyDescent="0.4">
      <c r="A91" s="3" t="s">
        <v>27</v>
      </c>
      <c r="B91" s="3" t="s">
        <v>28</v>
      </c>
      <c r="C91" s="3" t="s">
        <v>29</v>
      </c>
      <c r="D91" s="3" t="s">
        <v>30</v>
      </c>
      <c r="E91" s="3" t="s">
        <v>31</v>
      </c>
      <c r="F91" s="3" t="s">
        <v>32</v>
      </c>
      <c r="G91" s="3" t="s">
        <v>33</v>
      </c>
      <c r="H91" s="3" t="s">
        <v>34</v>
      </c>
      <c r="I91" s="3" t="s">
        <v>35</v>
      </c>
      <c r="J91" s="3" t="s">
        <v>36</v>
      </c>
      <c r="K91" s="3" t="s">
        <v>37</v>
      </c>
      <c r="L91" s="5" t="s">
        <v>149</v>
      </c>
      <c r="M91" s="3" t="s">
        <v>39</v>
      </c>
    </row>
    <row r="94" spans="1:13" ht="62.15" customHeight="1" x14ac:dyDescent="0.4">
      <c r="A94" s="3" t="s">
        <v>27</v>
      </c>
      <c r="B94" s="3" t="s">
        <v>28</v>
      </c>
      <c r="C94" s="3" t="s">
        <v>29</v>
      </c>
      <c r="D94" s="3" t="s">
        <v>30</v>
      </c>
      <c r="E94" s="3" t="s">
        <v>31</v>
      </c>
      <c r="F94" s="3" t="s">
        <v>32</v>
      </c>
      <c r="G94" s="3" t="s">
        <v>33</v>
      </c>
      <c r="H94" s="3" t="s">
        <v>34</v>
      </c>
      <c r="I94" s="3" t="s">
        <v>35</v>
      </c>
      <c r="J94" s="3" t="s">
        <v>36</v>
      </c>
      <c r="K94" s="3" t="s">
        <v>37</v>
      </c>
      <c r="L94" s="5" t="s">
        <v>150</v>
      </c>
      <c r="M94" s="3" t="s">
        <v>39</v>
      </c>
    </row>
    <row r="97" spans="1:13" ht="62.15" customHeight="1" x14ac:dyDescent="0.4">
      <c r="A97" s="3" t="s">
        <v>27</v>
      </c>
      <c r="B97" s="3" t="s">
        <v>28</v>
      </c>
      <c r="C97" s="3" t="s">
        <v>29</v>
      </c>
      <c r="D97" s="3" t="s">
        <v>30</v>
      </c>
      <c r="E97" s="3" t="s">
        <v>31</v>
      </c>
      <c r="F97" s="3" t="s">
        <v>32</v>
      </c>
      <c r="G97" s="3" t="s">
        <v>33</v>
      </c>
      <c r="H97" s="3" t="s">
        <v>34</v>
      </c>
      <c r="I97" s="3" t="s">
        <v>35</v>
      </c>
      <c r="J97" s="3" t="s">
        <v>36</v>
      </c>
      <c r="K97" s="3" t="s">
        <v>37</v>
      </c>
      <c r="L97" s="5" t="s">
        <v>151</v>
      </c>
      <c r="M97" s="3" t="s">
        <v>39</v>
      </c>
    </row>
    <row r="100" spans="1:13" x14ac:dyDescent="0.4">
      <c r="L100" s="6" t="s">
        <v>152</v>
      </c>
      <c r="M100" s="6" t="s">
        <v>153</v>
      </c>
    </row>
  </sheetData>
  <pageMargins left="0.25" right="0.25" top="0.75" bottom="0.75" header="0.3" footer="0.3"/>
  <pageSetup paperSize="8" scale="55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69140625" defaultRowHeight="14.6" x14ac:dyDescent="0.4"/>
  <sheetData>
    <row r="1" spans="1:1" ht="15" customHeight="1" x14ac:dyDescent="0.4">
      <c r="A1" s="2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Huimei HU (TP)</cp:lastModifiedBy>
  <cp:revision>0</cp:revision>
  <cp:lastPrinted>2026-06-25T02:16:03Z</cp:lastPrinted>
  <dcterms:created xsi:type="dcterms:W3CDTF">2026-06-04T22:59:51Z</dcterms:created>
  <dcterms:modified xsi:type="dcterms:W3CDTF">2026-07-16T16:08:19Z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9d7fc4-da81-42e5-b309-526f71322d86_Enabled">
    <vt:lpwstr>true</vt:lpwstr>
  </property>
  <property fmtid="{D5CDD505-2E9C-101B-9397-08002B2CF9AE}" pid="3" name="MSIP_Label_f69d7fc4-da81-42e5-b309-526f71322d86_SetDate">
    <vt:lpwstr>2026-06-25T02:14:57Z</vt:lpwstr>
  </property>
  <property fmtid="{D5CDD505-2E9C-101B-9397-08002B2CF9AE}" pid="4" name="MSIP_Label_f69d7fc4-da81-42e5-b309-526f71322d86_Method">
    <vt:lpwstr>Privileged</vt:lpwstr>
  </property>
  <property fmtid="{D5CDD505-2E9C-101B-9397-08002B2CF9AE}" pid="5" name="MSIP_Label_f69d7fc4-da81-42e5-b309-526f71322d86_Name">
    <vt:lpwstr>Non Sensitive</vt:lpwstr>
  </property>
  <property fmtid="{D5CDD505-2E9C-101B-9397-08002B2CF9AE}" pid="6" name="MSIP_Label_f69d7fc4-da81-42e5-b309-526f71322d86_SiteId">
    <vt:lpwstr>25a99bf0-8e72-472a-ae50-adfbdf0df6f1</vt:lpwstr>
  </property>
  <property fmtid="{D5CDD505-2E9C-101B-9397-08002B2CF9AE}" pid="7" name="MSIP_Label_f69d7fc4-da81-42e5-b309-526f71322d86_ActionId">
    <vt:lpwstr>28a87022-80b3-4a52-b66e-e2068aeec730</vt:lpwstr>
  </property>
  <property fmtid="{D5CDD505-2E9C-101B-9397-08002B2CF9AE}" pid="8" name="MSIP_Label_f69d7fc4-da81-42e5-b309-526f71322d86_ContentBits">
    <vt:lpwstr>0</vt:lpwstr>
  </property>
  <property fmtid="{D5CDD505-2E9C-101B-9397-08002B2CF9AE}" pid="9" name="MSIP_Label_f69d7fc4-da81-42e5-b309-526f71322d86_Tag">
    <vt:lpwstr>10, 0, 1, 1</vt:lpwstr>
  </property>
</Properties>
</file>