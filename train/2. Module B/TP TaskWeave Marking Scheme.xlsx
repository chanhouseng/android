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IS Marking Scheme Import" sheetId="1" state="visible" r:id="rId3"/>
    <sheet name="Calcula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<sst xmlns="http://schemas.openxmlformats.org/spreadsheetml/2006/main" count="278" uniqueCount="125">
  <si>
    <t xml:space="preserve">Skill Name</t>
  </si>
  <si>
    <t xml:space="preserve">WorldSkills Occupational Standards</t>
  </si>
  <si>
    <t xml:space="preserve">Section</t>
  </si>
  <si>
    <t xml:space="preserve">WSOS Marks</t>
  </si>
  <si>
    <t xml:space="preserve">Aspect Marks</t>
  </si>
  <si>
    <t xml:space="preserve">Variation</t>
  </si>
  <si>
    <t xml:space="preserve">Total Variation</t>
  </si>
  <si>
    <t xml:space="preserve">Criteria</t>
  </si>
  <si>
    <t xml:space="preserve">ID</t>
  </si>
  <si>
    <t xml:space="preserve">Name</t>
  </si>
  <si>
    <t xml:space="preserve">Mark</t>
  </si>
  <si>
    <t xml:space="preserve">A</t>
  </si>
  <si>
    <t xml:space="preserve">Functionality Module from Germany: TaskWeave</t>
  </si>
  <si>
    <t xml:space="preserve">B</t>
  </si>
  <si>
    <t xml:space="preserve">C</t>
  </si>
  <si>
    <t xml:space="preserve">D</t>
  </si>
  <si>
    <t xml:space="preserve">E</t>
  </si>
  <si>
    <t xml:space="preserve">F</t>
  </si>
  <si>
    <t xml:space="preserve">G</t>
  </si>
  <si>
    <t xml:space="preserve">H</t>
  </si>
  <si>
    <t xml:space="preserve">I</t>
  </si>
  <si>
    <t xml:space="preserve">Sub
Criterion
ID</t>
  </si>
  <si>
    <t xml:space="preserve">Sub Criterion
Name or Description</t>
  </si>
  <si>
    <t xml:space="preserve">Day of Marking</t>
  </si>
  <si>
    <t xml:space="preserve">Aspect
Type
M = Meas
J = Judg</t>
  </si>
  <si>
    <t xml:space="preserve">Aspect - Description</t>
  </si>
  <si>
    <t xml:space="preserve">Judg Score</t>
  </si>
  <si>
    <t xml:space="preserve">Extra Aspect Description (Meas or Judg)
OR
Judgement Score Description (Judg only)</t>
  </si>
  <si>
    <t xml:space="preserve">Requirement
(Measurement Only)</t>
  </si>
  <si>
    <t xml:space="preserve">WSOS Section</t>
  </si>
  <si>
    <t xml:space="preserve">Calculation Row 
(Export only)</t>
  </si>
  <si>
    <t xml:space="preserve">Max
Mark</t>
  </si>
  <si>
    <t xml:space="preserve">Criterion A</t>
  </si>
  <si>
    <t xml:space="preserve">Total
Mark</t>
  </si>
  <si>
    <t xml:space="preserve">A1</t>
  </si>
  <si>
    <t xml:space="preserve">General Demands</t>
  </si>
  <si>
    <t xml:space="preserve">Any</t>
  </si>
  <si>
    <t xml:space="preserve">M</t>
  </si>
  <si>
    <t xml:space="preserve">Git repository contains the compiled app and source code on the main branch</t>
  </si>
  <si>
    <t xml:space="preserve">App name is “TaskWeave X”, where X is the workstation number</t>
  </si>
  <si>
    <t xml:space="preserve">App icon was used</t>
  </si>
  <si>
    <t xml:space="preserve">When the app starts, the app icon is displayed to replace the default white splash screen.</t>
  </si>
  <si>
    <t xml:space="preserve">The app starts on the Board Page.</t>
  </si>
  <si>
    <t xml:space="preserve">All pages contain a navigation bar on the left.</t>
  </si>
  <si>
    <t xml:space="preserve">Navigation Bar</t>
  </si>
  <si>
    <t xml:space="preserve">0.10: app icon; 0.25 for each page button: button with icon exists and opens page; 0.10: current page is highlighted</t>
  </si>
  <si>
    <t xml:space="preserve">Provided tasks are shown when the app is first launched</t>
  </si>
  <si>
    <t xml:space="preserve">Create an app shortcut "Add Task" (which appears when long-clicking the app icon) that launches the app and opens the Task Dialog to create a new task.</t>
  </si>
  <si>
    <t xml:space="preserve">Changes are persisted across app restarts.</t>
  </si>
  <si>
    <t xml:space="preserve">After creating, editing, toggling completion, or deleting a task, a temporary message must appear with an "Undo" option that restores its previous state.</t>
  </si>
  <si>
    <t xml:space="preserve">0.25 each: creating, editing, toggling completion, deleting</t>
  </si>
  <si>
    <t xml:space="preserve">A2</t>
  </si>
  <si>
    <t xml:space="preserve">Statistics Page</t>
  </si>
  <si>
    <t xml:space="preserve">Text "This Week: X open tasks, Y completed tasks", where X and Y are calculated based on the current week (Monday to Sunday)</t>
  </si>
  <si>
    <t xml:space="preserve">0.25: 52 open tasks; 0.25: 1 completed task (with the provided tasks)</t>
  </si>
  <si>
    <t xml:space="preserve">Text "In Total: X open tasks, Y completed tasks", where X and Y are calculated based on all tasks</t>
  </si>
  <si>
    <t xml:space="preserve">0.25: 427 open tasks; 0.25: 14 completed tasks (with the provided tasks)</t>
  </si>
  <si>
    <t xml:space="preserve">Bar chart with one column for each day of the week (Monday to Sunday)</t>
  </si>
  <si>
    <t xml:space="preserve">1 completed task on Friday, 0 on the other days; 6, 8, 9, 6, 7, 9, 8 open tasks on Monday to Sunday (with the provided tasks)</t>
  </si>
  <si>
    <t xml:space="preserve">Bar chart contains representative segments for open and completed tasks of each day (if non-zero)</t>
  </si>
  <si>
    <t xml:space="preserve">Bar chart contains labels for number of open and completed tasks of each day (if non-zero)</t>
  </si>
  <si>
    <t xml:space="preserve">Bar chart contains weekday labels</t>
  </si>
  <si>
    <t xml:space="preserve">All numbers are calculated and updated when tasks are created, edited, or deleted.</t>
  </si>
  <si>
    <t xml:space="preserve">A3</t>
  </si>
  <si>
    <t xml:space="preserve">Board Page</t>
  </si>
  <si>
    <t xml:space="preserve">All elements present</t>
  </si>
  <si>
    <t xml:space="preserve">0.05: "Board" text; 0.05: Add Task button; 0.10 each: Five task columns (scrollable if necessary), each with Title and Scrollable task list; 0.20: Each priority group contains Title, Color, Add Task button, Tasks; 0.20: Each task contains Title (max 1 line), Optional short description (max 2 lines), Repeating icon (if applicable)</t>
  </si>
  <si>
    <t xml:space="preserve">Today &amp; Tomorrow: Tasks must be grouped by priority (High, Medium, Low). All groups are shown, even if they are empty.</t>
  </si>
  <si>
    <t xml:space="preserve">0.25 per column</t>
  </si>
  <si>
    <t xml:space="preserve">Today &amp; Tomorrow: Tasks can be dragged and dropped to reorder them within the same column, even across priority groups (automatically changing their priority).</t>
  </si>
  <si>
    <t xml:space="preserve">0.25: drag to reorder with same priority; 0.25: drag to change priority</t>
  </si>
  <si>
    <t xml:space="preserve">Overdue, Upcoming, &amp; Completed: Tasks are grouped by due date (Overdue: oldest first, Upcoming: soonest first, Completed: most recent first), then by priority.</t>
  </si>
  <si>
    <t xml:space="preserve">0.15 per column</t>
  </si>
  <si>
    <t xml:space="preserve">Overdue, Upcoming, &amp; Completed: Only due dates with tasks must be shown. However, for each shown date, all priority groups must be shown, even if they are empty.</t>
  </si>
  <si>
    <t xml:space="preserve">Overdue, Upcoming, &amp; Completed: Tasks can be dragged and dropped to reorder them within the same column, even across due dates and priority groups (automatically changing their due date and priority).</t>
  </si>
  <si>
    <t xml:space="preserve">0.25: drag to reorder with same priority; 0.25: drag to change due date; 0.25: drag to change priority</t>
  </si>
  <si>
    <t xml:space="preserve">Swiping from left to right on a task in the Today, Tomorrow, or Upcoming column moves its due date one day later.</t>
  </si>
  <si>
    <t xml:space="preserve">A4</t>
  </si>
  <si>
    <t xml:space="preserve">Calendar Page</t>
  </si>
  <si>
    <t xml:space="preserve">Simple elements present</t>
  </si>
  <si>
    <t xml:space="preserve">0.05 each: “Calendar” text, Year and month label, Add Task button</t>
  </si>
  <si>
    <t xml:space="preserve">Calendar elements present</t>
  </si>
  <si>
    <t xml:space="preserve">0.10: Column header for each day of the week (Monday to Sunday); 0.25: Row for every week of the month (number of rows can vary based on the month); 0.25: Day Cell for each day of the month, and possibly some days from the previous and next month to fill the grid</t>
  </si>
  <si>
    <t xml:space="preserve">Day cell elements present</t>
  </si>
  <si>
    <t xml:space="preserve">0.25: Each Day Cell contains Day number, Add Task button, and Scrollable task list; 0.20: Each task contains Title (max 2 lines), Color representing the priority, and Repeating icon (if applicable)</t>
  </si>
  <si>
    <t xml:space="preserve">Each Day Cell first contains open (non-completed) tasks in the same order as in the Today column of the Board Page (i.e., sorted by priority, then by custom reordering). Completed tasks show up below the open tasks, also sorted by priority and custom reordering.</t>
  </si>
  <si>
    <t xml:space="preserve">Completed tasks must be clearly distinguishable from open tasks.</t>
  </si>
  <si>
    <t xml:space="preserve">By default, the current month is displayed and the current day is visually highlighted.</t>
  </si>
  <si>
    <t xml:space="preserve">0.10: current month; 0.10: current day</t>
  </si>
  <si>
    <t xml:space="preserve">The user can swipe left or right to navigate between months. The year and month label must update accordingly.</t>
  </si>
  <si>
    <t xml:space="preserve">0.50: swiping; 0.10: label updates</t>
  </si>
  <si>
    <t xml:space="preserve">A5</t>
  </si>
  <si>
    <t xml:space="preserve">Functional Requirements for both Board and Calendar Pages</t>
  </si>
  <si>
    <t xml:space="preserve">For repeating tasks, all completed/overdue occurrences and all occurrences in the current and next month must be shown.</t>
  </si>
  <si>
    <t xml:space="preserve">0.60: there are tasks on every day in April and May, but not in March or June; 0.70: 3 tasks on 2026-04-07: Morning workout, Write journal, Laundry; 0.70: 7 tasks on 2026-05-03</t>
  </si>
  <si>
    <t xml:space="preserve">Clicking on a task toggles it between completed and not completed.</t>
  </si>
  <si>
    <t xml:space="preserve">Long-pressing a task opens the Task Dialog to edit the task.</t>
  </si>
  <si>
    <t xml:space="preserve">When a task gets added or edited, it must automatically move to the correct position. An animation is not necessary.</t>
  </si>
  <si>
    <t xml:space="preserve">Clicking on an Add Task button opens the Task Dialog to create a new task.</t>
  </si>
  <si>
    <t xml:space="preserve">For Add Task buttons in a Day cell or priority group, the Task Dialog must open with the corresponding due date and/or priority preselected.</t>
  </si>
  <si>
    <t xml:space="preserve">A6</t>
  </si>
  <si>
    <t xml:space="preserve">Task Dialog</t>
  </si>
  <si>
    <t xml:space="preserve">0.10 each</t>
  </si>
  <si>
    <t xml:space="preserve">The single-line Title text field validates that the title is not empty in real-time. If the title is empty, display a red error message "Title must not be empty" and disable the Create/Save Button.</t>
  </si>
  <si>
    <t xml:space="preserve">0.10: single line; 0.10: non-empty validation</t>
  </si>
  <si>
    <t xml:space="preserve">The Due Date picker must support picking an arbitrary date from a calendar view (no text field, no additional dialog).</t>
  </si>
  <si>
    <t xml:space="preserve">only 0.25 if the due date can be picked differently</t>
  </si>
  <si>
    <t xml:space="preserve">Unless otherwise noted, the Priority defaults to "Low", Repeating defaults to "Never", and Due Date defaults to one week from now.</t>
  </si>
  <si>
    <t xml:space="preserve">The Priority, Repeating, and Due Date must always have a valid value selected.</t>
  </si>
  <si>
    <t xml:space="preserve">Clicking the Create Button creates a new task with the specified properties and closes the dialog.</t>
  </si>
  <si>
    <t xml:space="preserve">Clicking the Save Button applies changes to the existing task and closes the dialog.</t>
  </si>
  <si>
    <t xml:space="preserve">Clicking the Delete Button deletes the existing task and closes the dialog.</t>
  </si>
  <si>
    <t xml:space="preserve">When editing repeating task: The Repeating selector and Due Date picker must be disabled.</t>
  </si>
  <si>
    <t xml:space="preserve">When editing repeating task: When clicking the Save button, this and all future occurrences must be updated. Past occurrences must not be affected.</t>
  </si>
  <si>
    <t xml:space="preserve">When editing repeating task: When clicking the Delete button, the user must be prompted to choose whether to delete only the current occurrence or all future occurrences as well. Past occurrences must not be affected.</t>
  </si>
  <si>
    <t xml:space="preserve">0.50 for each option (if it works)</t>
  </si>
  <si>
    <t xml:space="preserve">Criterion B</t>
  </si>
  <si>
    <t xml:space="preserve">Criterion C</t>
  </si>
  <si>
    <t xml:space="preserve">Criterion D</t>
  </si>
  <si>
    <t xml:space="preserve">Criterion E</t>
  </si>
  <si>
    <t xml:space="preserve">Criterion F</t>
  </si>
  <si>
    <t xml:space="preserve">Criterion G</t>
  </si>
  <si>
    <t xml:space="preserve">Criterion H</t>
  </si>
  <si>
    <t xml:space="preserve">Criterion I</t>
  </si>
  <si>
    <t xml:space="preserve">Competition</t>
  </si>
</sst>
</file>

<file path=xl/styles.xml><?xml version="1.0" encoding="utf-8"?>
<styleSheet xmlns="http://schemas.openxmlformats.org/spreadsheetml/2006/main">
  <numFmts count="3">
    <numFmt numFmtId="164" formatCode="General"/>
    <numFmt numFmtId="165" formatCode="0.00"/>
    <numFmt numFmtId="166" formatCode="@"/>
  </numFmts>
  <fonts count="10">
    <font>
      <sz val="10"/>
      <color theme="1"/>
      <name val="Arial"/>
      <family val="2"/>
      <charset val="1"/>
    </font>
    <font>
      <sz val="10"/>
      <name val="Arial"/>
      <family val="0"/>
    </font>
    <font>
      <sz val="10"/>
      <name val="Arial"/>
      <family val="0"/>
    </font>
    <font>
      <sz val="10"/>
      <name val="Arial"/>
      <family val="0"/>
    </font>
    <font>
      <sz val="18"/>
      <color rgb="FFFFFFFF"/>
      <name val="Arial"/>
      <family val="2"/>
      <charset val="1"/>
    </font>
    <font>
      <sz val="10"/>
      <name val="Arial"/>
      <family val="2"/>
      <charset val="1"/>
    </font>
    <font>
      <sz val="16"/>
      <color rgb="FFFFFFFF"/>
      <name val="Arial"/>
      <family val="2"/>
      <charset val="1"/>
    </font>
    <font>
      <sz val="10"/>
      <color rgb="FFFFFFFF"/>
      <name val="Arial"/>
      <family val="2"/>
      <charset val="1"/>
    </font>
    <font>
      <sz val="16"/>
      <name val="Arial"/>
      <family val="2"/>
      <charset val="1"/>
    </font>
    <font>
      <sz val="16"/>
      <color rgb="FF000000"/>
      <name val="Arial"/>
      <family val="2"/>
      <charset val="1"/>
    </font>
  </fonts>
  <fills count="3">
    <fill>
      <patternFill patternType="none"/>
    </fill>
    <fill>
      <patternFill patternType="gray125"/>
    </fill>
    <fill>
      <patternFill patternType="solid">
        <fgColor rgb="FF969696"/>
        <bgColor rgb="FF808080"/>
      </patternFill>
    </fill>
  </fills>
  <borders count="10">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bottom style="medium"/>
      <diagonal/>
    </border>
    <border diagonalUp="false" diagonalDown="false">
      <left style="medium"/>
      <right style="medium"/>
      <top/>
      <bottom/>
      <diagonal/>
    </border>
    <border diagonalUp="false" diagonalDown="false">
      <left/>
      <right style="medium"/>
      <top/>
      <bottom/>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style="medium"/>
      <diagonal/>
    </border>
    <border diagonalUp="false" diagonalDown="false">
      <left style="medium"/>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2" borderId="2" xfId="0" applyFont="true" applyBorder="true" applyAlignment="true" applyProtection="true">
      <alignment horizontal="center" vertical="center"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7" fillId="2" borderId="3" xfId="0" applyFont="true" applyBorder="true" applyAlignment="true" applyProtection="true">
      <alignment horizontal="center"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left" vertical="center" textRotation="0" wrapText="true" indent="0" shrinkToFit="false"/>
      <protection locked="true" hidden="false"/>
    </xf>
    <xf numFmtId="165" fontId="5" fillId="0" borderId="0" xfId="0" applyFont="true" applyBorder="true" applyAlignment="true" applyProtection="true">
      <alignment horizontal="center" vertical="center" textRotation="0" wrapText="false" indent="0" shrinkToFit="false"/>
      <protection locked="true" hidden="false"/>
    </xf>
    <xf numFmtId="165" fontId="5" fillId="0" borderId="5" xfId="0" applyFont="true" applyBorder="true" applyAlignment="true" applyProtection="true">
      <alignment horizontal="center" vertical="center" textRotation="0" wrapText="false" indent="0" shrinkToFit="false"/>
      <protection locked="true" hidden="false"/>
    </xf>
    <xf numFmtId="165" fontId="5" fillId="0" borderId="6"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false"/>
    </xf>
    <xf numFmtId="164" fontId="5" fillId="0" borderId="3" xfId="0" applyFont="true" applyBorder="true" applyAlignment="true" applyProtection="true">
      <alignment horizontal="left" vertical="center" textRotation="0" wrapText="false" indent="0" shrinkToFit="false"/>
      <protection locked="true" hidden="false"/>
    </xf>
    <xf numFmtId="165" fontId="5" fillId="0" borderId="7" xfId="0" applyFont="true" applyBorder="true" applyAlignment="true" applyProtection="true">
      <alignment horizontal="center" vertical="center" textRotation="0" wrapText="false" indent="0" shrinkToFit="false"/>
      <protection locked="true" hidden="false"/>
    </xf>
    <xf numFmtId="165" fontId="5" fillId="0" borderId="3" xfId="0" applyFont="true" applyBorder="true" applyAlignment="true" applyProtection="true">
      <alignment horizontal="center" vertical="center" textRotation="0" wrapText="false" indent="0" shrinkToFit="false"/>
      <protection locked="true" hidden="false"/>
    </xf>
    <xf numFmtId="164" fontId="5" fillId="0" borderId="2" xfId="0" applyFont="true" applyBorder="true" applyAlignment="true" applyProtection="true">
      <alignment horizontal="center" vertical="center" textRotation="0" wrapText="false" indent="0" shrinkToFit="false"/>
      <protection locked="true" hidden="false"/>
    </xf>
    <xf numFmtId="164" fontId="5" fillId="0" borderId="8" xfId="0" applyFont="true" applyBorder="true" applyAlignment="true" applyProtection="true">
      <alignment horizontal="left" vertical="center" textRotation="0" wrapText="false" indent="0" shrinkToFit="false"/>
      <protection locked="true" hidden="false"/>
    </xf>
    <xf numFmtId="165" fontId="5" fillId="0" borderId="9" xfId="0" applyFont="true" applyBorder="true" applyAlignment="true" applyProtection="true">
      <alignment horizontal="center" vertical="center" textRotation="0" wrapText="false" indent="0" shrinkToFit="false"/>
      <protection locked="true" hidden="false"/>
    </xf>
    <xf numFmtId="165" fontId="5" fillId="0" borderId="2"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left" vertical="center" textRotation="0" wrapText="false" indent="0" shrinkToFit="false"/>
      <protection locked="true" hidden="false"/>
    </xf>
    <xf numFmtId="165" fontId="5" fillId="0" borderId="4"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9" fillId="0" borderId="0" xfId="0" applyFont="true" applyBorder="false" applyAlignment="true" applyProtection="true">
      <alignment horizontal="center" vertical="center" textRotation="0" wrapText="true" indent="0" shrinkToFit="false"/>
      <protection locked="true" hidden="false"/>
    </xf>
    <xf numFmtId="165" fontId="8" fillId="0" borderId="0" xfId="0" applyFont="true" applyBorder="false" applyAlignment="true" applyProtection="true">
      <alignment horizontal="center" vertical="center" textRotation="0" wrapText="fals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6"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04857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M16" activeCellId="0" sqref="M16"/>
    </sheetView>
  </sheetViews>
  <sheetFormatPr defaultColWidth="8.83203125" defaultRowHeight="12.75" customHeight="false" zeroHeight="false" outlineLevelRow="0" outlineLevelCol="0"/>
  <cols>
    <col collapsed="false" customWidth="true" hidden="false" outlineLevel="0" max="1" min="1" style="1" width="7.67"/>
    <col collapsed="false" customWidth="true" hidden="false" outlineLevel="0" max="2" min="2" style="1" width="39"/>
    <col collapsed="false" customWidth="true" hidden="false" outlineLevel="0" max="3" min="3" style="1" width="7.83"/>
    <col collapsed="false" customWidth="true" hidden="false" outlineLevel="0" max="4" min="4" style="1" width="6.2"/>
    <col collapsed="false" customWidth="true" hidden="false" outlineLevel="0" max="5" min="5" style="1" width="52.16"/>
    <col collapsed="false" customWidth="true" hidden="false" outlineLevel="0" max="6" min="6" style="1" width="8"/>
    <col collapsed="false" customWidth="true" hidden="false" outlineLevel="0" max="7" min="7" style="1" width="46.67"/>
    <col collapsed="false" customWidth="true" hidden="false" outlineLevel="0" max="8" min="8" style="1" width="15.51"/>
    <col collapsed="false" customWidth="true" hidden="false" outlineLevel="0" max="9" min="9" style="1" width="11.33"/>
    <col collapsed="false" customWidth="true" hidden="false" outlineLevel="0" max="10" min="10" style="1" width="11"/>
    <col collapsed="false" customWidth="true" hidden="false" outlineLevel="0" max="11" min="11" style="1" width="10.66"/>
    <col collapsed="false" customWidth="true" hidden="false" outlineLevel="0" max="12" min="12" style="1" width="18.5"/>
    <col collapsed="false" customWidth="true" hidden="false" outlineLevel="0" max="14" min="14" style="1" width="11.53"/>
  </cols>
  <sheetData>
    <row r="1" customFormat="false" ht="48.75" hidden="false" customHeight="true" outlineLevel="0" collapsed="false">
      <c r="A1" s="2" t="s">
        <v>0</v>
      </c>
      <c r="B1" s="2"/>
      <c r="C1" s="2"/>
      <c r="D1" s="2"/>
      <c r="E1" s="2"/>
      <c r="F1" s="2"/>
      <c r="G1" s="2"/>
      <c r="H1" s="2"/>
      <c r="I1" s="2"/>
      <c r="J1" s="2"/>
      <c r="K1" s="2"/>
    </row>
    <row r="2" customFormat="false" ht="36" hidden="false" customHeight="true" outlineLevel="0" collapsed="false">
      <c r="C2" s="3"/>
      <c r="E2" s="3"/>
      <c r="J2" s="3"/>
    </row>
    <row r="3" customFormat="false" ht="34.5" hidden="false" customHeight="true" outlineLevel="0" collapsed="false">
      <c r="A3" s="4" t="s">
        <v>1</v>
      </c>
      <c r="B3" s="4"/>
      <c r="C3" s="4"/>
      <c r="D3" s="4"/>
      <c r="E3" s="4"/>
      <c r="F3" s="4"/>
      <c r="G3" s="4"/>
      <c r="H3" s="4"/>
      <c r="I3" s="4"/>
      <c r="J3" s="4"/>
      <c r="K3" s="4"/>
    </row>
    <row r="4" customFormat="false" ht="34.5" hidden="false" customHeight="true" outlineLevel="0" collapsed="false">
      <c r="A4" s="5" t="s">
        <v>2</v>
      </c>
      <c r="B4" s="6" t="s">
        <v>3</v>
      </c>
      <c r="C4" s="6"/>
      <c r="D4" s="6"/>
      <c r="E4" s="6"/>
      <c r="F4" s="6"/>
      <c r="G4" s="6"/>
      <c r="H4" s="6"/>
      <c r="I4" s="5" t="s">
        <v>3</v>
      </c>
      <c r="J4" s="7" t="s">
        <v>4</v>
      </c>
      <c r="K4" s="7" t="s">
        <v>5</v>
      </c>
    </row>
    <row r="5" customFormat="false" ht="24.75" hidden="false" customHeight="true" outlineLevel="0" collapsed="false">
      <c r="A5" s="8"/>
      <c r="B5" s="9"/>
      <c r="C5" s="9"/>
      <c r="D5" s="9"/>
      <c r="E5" s="9"/>
      <c r="F5" s="9"/>
      <c r="G5" s="9"/>
      <c r="H5" s="9"/>
      <c r="I5" s="10"/>
      <c r="J5" s="11" t="n">
        <f aca="false">SUMIF(I30:I148,A5,K30:K148)</f>
        <v>0</v>
      </c>
      <c r="K5" s="12" t="n">
        <f aca="false">ABS(I5-J5)</f>
        <v>0</v>
      </c>
    </row>
    <row r="6" customFormat="false" ht="24.75" hidden="false" customHeight="true" outlineLevel="0" collapsed="false">
      <c r="A6" s="13"/>
      <c r="B6" s="14"/>
      <c r="C6" s="14"/>
      <c r="D6" s="14"/>
      <c r="E6" s="14"/>
      <c r="F6" s="14"/>
      <c r="G6" s="14"/>
      <c r="H6" s="14"/>
      <c r="I6" s="10"/>
      <c r="J6" s="15" t="n">
        <f aca="false">SUMIF(I30:I148,A6,K30:K148)</f>
        <v>0</v>
      </c>
      <c r="K6" s="16" t="n">
        <f aca="false">ABS(I6-J6)</f>
        <v>0</v>
      </c>
    </row>
    <row r="7" customFormat="false" ht="24.75" hidden="false" customHeight="true" outlineLevel="0" collapsed="false">
      <c r="A7" s="13"/>
      <c r="B7" s="14"/>
      <c r="C7" s="14"/>
      <c r="D7" s="14"/>
      <c r="E7" s="14"/>
      <c r="F7" s="14"/>
      <c r="G7" s="14"/>
      <c r="H7" s="14"/>
      <c r="I7" s="10"/>
      <c r="J7" s="15" t="n">
        <f aca="false">SUMIF(I30:I148,A7,K30:K148)</f>
        <v>0</v>
      </c>
      <c r="K7" s="16" t="n">
        <f aca="false">ABS(I7-J7)</f>
        <v>0</v>
      </c>
    </row>
    <row r="8" customFormat="false" ht="24.75" hidden="false" customHeight="true" outlineLevel="0" collapsed="false">
      <c r="A8" s="13"/>
      <c r="B8" s="14"/>
      <c r="C8" s="14"/>
      <c r="D8" s="14"/>
      <c r="E8" s="14"/>
      <c r="F8" s="14"/>
      <c r="G8" s="14"/>
      <c r="H8" s="14"/>
      <c r="I8" s="10"/>
      <c r="J8" s="15" t="n">
        <f aca="false">SUMIF(I30:I148,A8,K30:K148)</f>
        <v>0</v>
      </c>
      <c r="K8" s="16" t="n">
        <f aca="false">ABS(I8-J8)</f>
        <v>0</v>
      </c>
    </row>
    <row r="9" customFormat="false" ht="24.75" hidden="false" customHeight="true" outlineLevel="0" collapsed="false">
      <c r="A9" s="13"/>
      <c r="B9" s="14"/>
      <c r="C9" s="14"/>
      <c r="D9" s="14"/>
      <c r="E9" s="14"/>
      <c r="F9" s="14"/>
      <c r="G9" s="14"/>
      <c r="H9" s="14"/>
      <c r="I9" s="10"/>
      <c r="J9" s="15" t="n">
        <f aca="false">SUMIF(I30:I148,A9,K30:K148)</f>
        <v>0</v>
      </c>
      <c r="K9" s="16" t="n">
        <f aca="false">ABS(I9-J9)</f>
        <v>0</v>
      </c>
    </row>
    <row r="10" customFormat="false" ht="24.75" hidden="false" customHeight="true" outlineLevel="0" collapsed="false">
      <c r="A10" s="13"/>
      <c r="B10" s="14"/>
      <c r="C10" s="14"/>
      <c r="D10" s="14"/>
      <c r="E10" s="14"/>
      <c r="F10" s="14"/>
      <c r="G10" s="14"/>
      <c r="H10" s="14"/>
      <c r="I10" s="10"/>
      <c r="J10" s="15" t="n">
        <f aca="false">SUMIF(I30:I148,A10,K30:K148)</f>
        <v>0</v>
      </c>
      <c r="K10" s="16" t="n">
        <f aca="false">ABS(I10-J10)</f>
        <v>0</v>
      </c>
    </row>
    <row r="11" customFormat="false" ht="24.75" hidden="false" customHeight="true" outlineLevel="0" collapsed="false">
      <c r="A11" s="13"/>
      <c r="B11" s="14"/>
      <c r="C11" s="14"/>
      <c r="D11" s="14"/>
      <c r="E11" s="14"/>
      <c r="F11" s="14"/>
      <c r="G11" s="14"/>
      <c r="H11" s="14"/>
      <c r="I11" s="10"/>
      <c r="J11" s="15" t="n">
        <f aca="false">SUMIF(I30:I148,A11,K30:K148)</f>
        <v>0</v>
      </c>
      <c r="K11" s="16" t="n">
        <f aca="false">ABS(I11-J11)</f>
        <v>0</v>
      </c>
    </row>
    <row r="12" customFormat="false" ht="24.75" hidden="false" customHeight="true" outlineLevel="0" collapsed="false">
      <c r="A12" s="17"/>
      <c r="B12" s="18"/>
      <c r="C12" s="18"/>
      <c r="D12" s="18"/>
      <c r="E12" s="18"/>
      <c r="F12" s="18"/>
      <c r="G12" s="18"/>
      <c r="H12" s="18"/>
      <c r="I12" s="19"/>
      <c r="J12" s="19" t="n">
        <f aca="false">SUMIF(I30:I148,A12,K30:K148)</f>
        <v>0</v>
      </c>
      <c r="K12" s="20" t="n">
        <f aca="false">ABS(I12-J12)</f>
        <v>0</v>
      </c>
    </row>
    <row r="13" customFormat="false" ht="24.75" hidden="false" customHeight="true" outlineLevel="0" collapsed="false">
      <c r="C13" s="3"/>
      <c r="E13" s="3"/>
      <c r="I13" s="21" t="s">
        <v>6</v>
      </c>
      <c r="J13" s="21"/>
      <c r="K13" s="20" t="n">
        <f aca="false">SUM(K5:K12)</f>
        <v>0</v>
      </c>
    </row>
    <row r="14" customFormat="false" ht="19.5" hidden="false" customHeight="true" outlineLevel="0" collapsed="false">
      <c r="C14" s="3"/>
      <c r="E14" s="3"/>
      <c r="I14" s="22"/>
      <c r="J14" s="22"/>
    </row>
    <row r="15" customFormat="false" ht="19.5" hidden="false" customHeight="true" outlineLevel="0" collapsed="false">
      <c r="C15" s="3"/>
      <c r="E15" s="3"/>
      <c r="I15" s="22"/>
      <c r="J15" s="3"/>
    </row>
    <row r="16" customFormat="false" ht="34.5" hidden="false" customHeight="true" outlineLevel="0" collapsed="false">
      <c r="A16" s="4" t="s">
        <v>7</v>
      </c>
      <c r="B16" s="4"/>
      <c r="C16" s="4"/>
      <c r="D16" s="4"/>
      <c r="E16" s="4"/>
      <c r="F16" s="4"/>
      <c r="G16" s="4"/>
      <c r="H16" s="4"/>
      <c r="I16" s="4"/>
      <c r="J16" s="4"/>
      <c r="K16" s="4"/>
    </row>
    <row r="17" customFormat="false" ht="34.5" hidden="false" customHeight="true" outlineLevel="0" collapsed="false">
      <c r="A17" s="5" t="s">
        <v>8</v>
      </c>
      <c r="B17" s="6" t="s">
        <v>9</v>
      </c>
      <c r="C17" s="6"/>
      <c r="D17" s="6"/>
      <c r="E17" s="6"/>
      <c r="F17" s="6"/>
      <c r="G17" s="6"/>
      <c r="H17" s="6"/>
      <c r="I17" s="6"/>
      <c r="J17" s="6"/>
      <c r="K17" s="5" t="s">
        <v>10</v>
      </c>
    </row>
    <row r="18" customFormat="false" ht="24.75" hidden="false" customHeight="true" outlineLevel="0" collapsed="false">
      <c r="A18" s="8" t="s">
        <v>11</v>
      </c>
      <c r="B18" s="14" t="s">
        <v>12</v>
      </c>
      <c r="C18" s="14"/>
      <c r="D18" s="14"/>
      <c r="E18" s="14"/>
      <c r="F18" s="14"/>
      <c r="G18" s="14"/>
      <c r="H18" s="14"/>
      <c r="I18" s="23"/>
      <c r="J18" s="23"/>
      <c r="K18" s="24" t="n">
        <f aca="false">N29</f>
        <v>25</v>
      </c>
    </row>
    <row r="19" customFormat="false" ht="24.75" hidden="false" customHeight="true" outlineLevel="0" collapsed="false">
      <c r="A19" s="8" t="s">
        <v>13</v>
      </c>
      <c r="B19" s="23"/>
      <c r="C19" s="23"/>
      <c r="D19" s="23"/>
      <c r="E19" s="23"/>
      <c r="F19" s="23"/>
      <c r="G19" s="23"/>
      <c r="H19" s="23"/>
      <c r="I19" s="23"/>
      <c r="J19" s="23"/>
      <c r="K19" s="24"/>
    </row>
    <row r="20" customFormat="false" ht="24.75" hidden="false" customHeight="true" outlineLevel="0" collapsed="false">
      <c r="A20" s="8" t="s">
        <v>14</v>
      </c>
      <c r="B20" s="23"/>
      <c r="C20" s="23"/>
      <c r="D20" s="23"/>
      <c r="E20" s="23"/>
      <c r="F20" s="23"/>
      <c r="G20" s="23"/>
      <c r="H20" s="23"/>
      <c r="I20" s="23"/>
      <c r="J20" s="23"/>
      <c r="K20" s="24"/>
    </row>
    <row r="21" customFormat="false" ht="24.75" hidden="false" customHeight="true" outlineLevel="0" collapsed="false">
      <c r="A21" s="8" t="s">
        <v>15</v>
      </c>
      <c r="B21" s="23"/>
      <c r="C21" s="23"/>
      <c r="D21" s="23"/>
      <c r="E21" s="23"/>
      <c r="F21" s="23"/>
      <c r="G21" s="23"/>
      <c r="H21" s="23"/>
      <c r="I21" s="23"/>
      <c r="J21" s="23"/>
      <c r="K21" s="24"/>
    </row>
    <row r="22" customFormat="false" ht="24.75" hidden="false" customHeight="true" outlineLevel="0" collapsed="false">
      <c r="A22" s="8" t="s">
        <v>16</v>
      </c>
      <c r="B22" s="23"/>
      <c r="C22" s="23"/>
      <c r="D22" s="23"/>
      <c r="E22" s="23"/>
      <c r="F22" s="23"/>
      <c r="G22" s="23"/>
      <c r="H22" s="23"/>
      <c r="I22" s="23"/>
      <c r="J22" s="23"/>
      <c r="K22" s="24"/>
    </row>
    <row r="23" customFormat="false" ht="24.75" hidden="false" customHeight="true" outlineLevel="0" collapsed="false">
      <c r="A23" s="8" t="s">
        <v>17</v>
      </c>
      <c r="B23" s="23"/>
      <c r="C23" s="23"/>
      <c r="D23" s="23"/>
      <c r="E23" s="23"/>
      <c r="F23" s="23"/>
      <c r="G23" s="23"/>
      <c r="H23" s="23"/>
      <c r="I23" s="23"/>
      <c r="J23" s="23"/>
      <c r="K23" s="24"/>
    </row>
    <row r="24" customFormat="false" ht="24.75" hidden="false" customHeight="true" outlineLevel="0" collapsed="false">
      <c r="A24" s="8" t="s">
        <v>18</v>
      </c>
      <c r="B24" s="23"/>
      <c r="C24" s="23"/>
      <c r="D24" s="23"/>
      <c r="E24" s="23"/>
      <c r="F24" s="23"/>
      <c r="G24" s="23"/>
      <c r="H24" s="23"/>
      <c r="I24" s="23"/>
      <c r="J24" s="23"/>
      <c r="K24" s="24"/>
    </row>
    <row r="25" customFormat="false" ht="24.75" hidden="false" customHeight="true" outlineLevel="0" collapsed="false">
      <c r="A25" s="8" t="s">
        <v>19</v>
      </c>
      <c r="B25" s="23"/>
      <c r="C25" s="23"/>
      <c r="D25" s="23"/>
      <c r="E25" s="23"/>
      <c r="F25" s="23"/>
      <c r="G25" s="23"/>
      <c r="H25" s="23"/>
      <c r="I25" s="23"/>
      <c r="J25" s="23"/>
      <c r="K25" s="24"/>
    </row>
    <row r="26" customFormat="false" ht="24.75" hidden="false" customHeight="true" outlineLevel="0" collapsed="false">
      <c r="A26" s="17" t="s">
        <v>20</v>
      </c>
      <c r="B26" s="18"/>
      <c r="C26" s="18"/>
      <c r="D26" s="18"/>
      <c r="E26" s="18"/>
      <c r="F26" s="18"/>
      <c r="G26" s="18"/>
      <c r="H26" s="18"/>
      <c r="I26" s="18"/>
      <c r="J26" s="18"/>
      <c r="K26" s="20"/>
    </row>
    <row r="27" customFormat="false" ht="19.5" hidden="false" customHeight="true" outlineLevel="0" collapsed="false">
      <c r="F27" s="25"/>
      <c r="G27" s="25"/>
      <c r="H27" s="25"/>
      <c r="I27" s="25"/>
      <c r="J27" s="26"/>
    </row>
    <row r="28" customFormat="false" ht="19.5" hidden="false" customHeight="true" outlineLevel="0" collapsed="false">
      <c r="C28" s="26"/>
      <c r="H28" s="26"/>
      <c r="I28" s="26"/>
      <c r="J28" s="26"/>
    </row>
    <row r="29" customFormat="false" ht="68.65" hidden="false" customHeight="false" outlineLevel="0" collapsed="false">
      <c r="A29" s="6" t="s">
        <v>21</v>
      </c>
      <c r="B29" s="6" t="s">
        <v>22</v>
      </c>
      <c r="C29" s="6" t="s">
        <v>23</v>
      </c>
      <c r="D29" s="6" t="s">
        <v>24</v>
      </c>
      <c r="E29" s="6" t="s">
        <v>25</v>
      </c>
      <c r="F29" s="6" t="s">
        <v>26</v>
      </c>
      <c r="G29" s="6" t="s">
        <v>27</v>
      </c>
      <c r="H29" s="6" t="s">
        <v>28</v>
      </c>
      <c r="I29" s="6" t="s">
        <v>29</v>
      </c>
      <c r="J29" s="6" t="s">
        <v>30</v>
      </c>
      <c r="K29" s="6" t="s">
        <v>31</v>
      </c>
      <c r="L29" s="27" t="s">
        <v>32</v>
      </c>
      <c r="M29" s="28" t="s">
        <v>33</v>
      </c>
      <c r="N29" s="29" t="n">
        <f aca="false">SUM(K30:K84)</f>
        <v>25</v>
      </c>
    </row>
    <row r="30" customFormat="false" ht="12.75" hidden="false" customHeight="false" outlineLevel="0" collapsed="false">
      <c r="A30" s="8" t="s">
        <v>34</v>
      </c>
      <c r="B30" s="23" t="s">
        <v>35</v>
      </c>
      <c r="C30" s="8" t="s">
        <v>36</v>
      </c>
      <c r="D30" s="8"/>
      <c r="E30" s="9"/>
      <c r="F30" s="30"/>
      <c r="G30" s="9"/>
      <c r="H30" s="23"/>
      <c r="I30" s="8"/>
      <c r="J30" s="8"/>
      <c r="K30" s="24"/>
    </row>
    <row r="31" customFormat="false" ht="23.85" hidden="false" customHeight="false" outlineLevel="0" collapsed="false">
      <c r="A31" s="8"/>
      <c r="B31" s="23"/>
      <c r="C31" s="8"/>
      <c r="D31" s="8" t="s">
        <v>37</v>
      </c>
      <c r="E31" s="31" t="s">
        <v>38</v>
      </c>
      <c r="F31" s="30"/>
      <c r="G31" s="9"/>
      <c r="H31" s="23"/>
      <c r="I31" s="8"/>
      <c r="J31" s="8"/>
      <c r="K31" s="24" t="n">
        <v>0.5</v>
      </c>
    </row>
    <row r="32" customFormat="false" ht="23.85" hidden="false" customHeight="false" outlineLevel="0" collapsed="false">
      <c r="A32" s="8"/>
      <c r="B32" s="23"/>
      <c r="C32" s="8"/>
      <c r="D32" s="30" t="s">
        <v>37</v>
      </c>
      <c r="E32" s="9" t="s">
        <v>39</v>
      </c>
      <c r="F32" s="30"/>
      <c r="G32" s="9"/>
      <c r="H32" s="23"/>
      <c r="I32" s="8"/>
      <c r="J32" s="8"/>
      <c r="K32" s="24" t="n">
        <v>0.2</v>
      </c>
    </row>
    <row r="33" customFormat="false" ht="12.8" hidden="false" customHeight="false" outlineLevel="0" collapsed="false">
      <c r="A33" s="8"/>
      <c r="B33" s="23"/>
      <c r="C33" s="8"/>
      <c r="D33" s="30" t="s">
        <v>37</v>
      </c>
      <c r="E33" s="9" t="s">
        <v>40</v>
      </c>
      <c r="F33" s="30"/>
      <c r="G33" s="9"/>
      <c r="H33" s="23"/>
      <c r="I33" s="8"/>
      <c r="J33" s="8"/>
      <c r="K33" s="24" t="n">
        <v>0.2</v>
      </c>
    </row>
    <row r="34" customFormat="false" ht="23.85" hidden="false" customHeight="false" outlineLevel="0" collapsed="false">
      <c r="A34" s="8"/>
      <c r="B34" s="23"/>
      <c r="C34" s="8"/>
      <c r="D34" s="30" t="s">
        <v>37</v>
      </c>
      <c r="E34" s="32" t="s">
        <v>41</v>
      </c>
      <c r="F34" s="30"/>
      <c r="G34" s="9"/>
      <c r="H34" s="9"/>
      <c r="I34" s="30"/>
      <c r="J34" s="30"/>
      <c r="K34" s="24" t="n">
        <v>0.25</v>
      </c>
    </row>
    <row r="35" customFormat="false" ht="12.75" hidden="false" customHeight="false" outlineLevel="0" collapsed="false">
      <c r="A35" s="8"/>
      <c r="B35" s="23"/>
      <c r="C35" s="8"/>
      <c r="D35" s="30" t="s">
        <v>37</v>
      </c>
      <c r="E35" s="32" t="s">
        <v>42</v>
      </c>
      <c r="F35" s="30"/>
      <c r="G35" s="9"/>
      <c r="H35" s="23"/>
      <c r="I35" s="8"/>
      <c r="J35" s="8"/>
      <c r="K35" s="24" t="n">
        <v>0.1</v>
      </c>
    </row>
    <row r="36" customFormat="false" ht="12.75" hidden="false" customHeight="false" outlineLevel="0" collapsed="false">
      <c r="A36" s="8"/>
      <c r="B36" s="23"/>
      <c r="C36" s="8"/>
      <c r="D36" s="30" t="s">
        <v>37</v>
      </c>
      <c r="E36" s="32" t="s">
        <v>43</v>
      </c>
      <c r="F36" s="30"/>
      <c r="G36" s="9"/>
      <c r="H36" s="9"/>
      <c r="I36" s="30"/>
      <c r="J36" s="30"/>
      <c r="K36" s="24" t="n">
        <v>0.1</v>
      </c>
      <c r="AM36" s="1"/>
      <c r="AZ36" s="1"/>
    </row>
    <row r="37" customFormat="false" ht="35.05" hidden="false" customHeight="false" outlineLevel="0" collapsed="false">
      <c r="A37" s="8"/>
      <c r="B37" s="23"/>
      <c r="C37" s="8"/>
      <c r="D37" s="30" t="s">
        <v>37</v>
      </c>
      <c r="E37" s="9" t="s">
        <v>44</v>
      </c>
      <c r="F37" s="30"/>
      <c r="G37" s="32" t="s">
        <v>45</v>
      </c>
      <c r="H37" s="23"/>
      <c r="I37" s="8"/>
      <c r="J37" s="8"/>
      <c r="K37" s="24" t="n">
        <v>0.95</v>
      </c>
    </row>
    <row r="38" customFormat="false" ht="12.75" hidden="false" customHeight="false" outlineLevel="0" collapsed="false">
      <c r="A38" s="8"/>
      <c r="B38" s="23"/>
      <c r="C38" s="8"/>
      <c r="D38" s="30" t="s">
        <v>37</v>
      </c>
      <c r="E38" s="9" t="s">
        <v>46</v>
      </c>
      <c r="F38" s="30"/>
      <c r="G38" s="9"/>
      <c r="H38" s="23"/>
      <c r="I38" s="8"/>
      <c r="J38" s="8"/>
      <c r="K38" s="24" t="n">
        <v>1</v>
      </c>
    </row>
    <row r="39" customFormat="false" ht="35.05" hidden="false" customHeight="false" outlineLevel="0" collapsed="false">
      <c r="A39" s="8"/>
      <c r="B39" s="23"/>
      <c r="C39" s="8"/>
      <c r="D39" s="30" t="s">
        <v>37</v>
      </c>
      <c r="E39" s="32" t="s">
        <v>47</v>
      </c>
      <c r="F39" s="30"/>
      <c r="G39" s="9"/>
      <c r="H39" s="23"/>
      <c r="I39" s="8"/>
      <c r="J39" s="8"/>
      <c r="K39" s="24" t="n">
        <v>1</v>
      </c>
    </row>
    <row r="40" customFormat="false" ht="12.75" hidden="false" customHeight="false" outlineLevel="0" collapsed="false">
      <c r="A40" s="8"/>
      <c r="B40" s="23"/>
      <c r="C40" s="8"/>
      <c r="D40" s="30" t="s">
        <v>37</v>
      </c>
      <c r="E40" s="32" t="s">
        <v>48</v>
      </c>
      <c r="F40" s="30"/>
      <c r="G40" s="9"/>
      <c r="H40" s="23"/>
      <c r="I40" s="8"/>
      <c r="J40" s="8"/>
      <c r="K40" s="24" t="n">
        <v>1</v>
      </c>
    </row>
    <row r="41" customFormat="false" ht="35.05" hidden="false" customHeight="false" outlineLevel="0" collapsed="false">
      <c r="A41" s="8"/>
      <c r="B41" s="23"/>
      <c r="C41" s="8"/>
      <c r="D41" s="30" t="s">
        <v>37</v>
      </c>
      <c r="E41" s="32" t="s">
        <v>49</v>
      </c>
      <c r="F41" s="30"/>
      <c r="G41" s="9" t="s">
        <v>50</v>
      </c>
      <c r="H41" s="23"/>
      <c r="I41" s="8"/>
      <c r="J41" s="8"/>
      <c r="K41" s="24" t="n">
        <v>1</v>
      </c>
    </row>
    <row r="42" customFormat="false" ht="12.75" hidden="false" customHeight="false" outlineLevel="0" collapsed="false">
      <c r="A42" s="8" t="s">
        <v>51</v>
      </c>
      <c r="B42" s="23" t="s">
        <v>52</v>
      </c>
      <c r="C42" s="8" t="s">
        <v>36</v>
      </c>
      <c r="D42" s="8"/>
      <c r="E42" s="9"/>
      <c r="F42" s="30"/>
      <c r="G42" s="9"/>
      <c r="H42" s="23"/>
      <c r="I42" s="8"/>
      <c r="J42" s="8"/>
      <c r="K42" s="24"/>
    </row>
    <row r="43" customFormat="false" ht="35.05" hidden="false" customHeight="false" outlineLevel="0" collapsed="false">
      <c r="A43" s="8"/>
      <c r="B43" s="23"/>
      <c r="C43" s="8"/>
      <c r="D43" s="8" t="s">
        <v>37</v>
      </c>
      <c r="E43" s="32" t="s">
        <v>53</v>
      </c>
      <c r="F43" s="30"/>
      <c r="G43" s="9" t="s">
        <v>54</v>
      </c>
      <c r="H43" s="23"/>
      <c r="I43" s="8"/>
      <c r="J43" s="8"/>
      <c r="K43" s="24" t="n">
        <v>0.5</v>
      </c>
    </row>
    <row r="44" customFormat="false" ht="23.85" hidden="false" customHeight="false" outlineLevel="0" collapsed="false">
      <c r="A44" s="8"/>
      <c r="B44" s="23"/>
      <c r="C44" s="8"/>
      <c r="D44" s="8" t="s">
        <v>37</v>
      </c>
      <c r="E44" s="32" t="s">
        <v>55</v>
      </c>
      <c r="F44" s="30"/>
      <c r="G44" s="9" t="s">
        <v>56</v>
      </c>
      <c r="H44" s="23"/>
      <c r="I44" s="8"/>
      <c r="J44" s="8"/>
      <c r="K44" s="24" t="n">
        <v>0.5</v>
      </c>
    </row>
    <row r="45" customFormat="false" ht="35.05" hidden="false" customHeight="false" outlineLevel="0" collapsed="false">
      <c r="A45" s="8"/>
      <c r="B45" s="23"/>
      <c r="C45" s="8"/>
      <c r="D45" s="8" t="s">
        <v>37</v>
      </c>
      <c r="E45" s="32" t="s">
        <v>57</v>
      </c>
      <c r="F45" s="30"/>
      <c r="G45" s="9" t="s">
        <v>58</v>
      </c>
      <c r="H45" s="23"/>
      <c r="I45" s="8"/>
      <c r="J45" s="8"/>
      <c r="K45" s="24" t="n">
        <v>0.5</v>
      </c>
    </row>
    <row r="46" customFormat="false" ht="23.85" hidden="false" customHeight="false" outlineLevel="0" collapsed="false">
      <c r="A46" s="8"/>
      <c r="B46" s="23"/>
      <c r="C46" s="8"/>
      <c r="D46" s="8" t="s">
        <v>37</v>
      </c>
      <c r="E46" s="9" t="s">
        <v>59</v>
      </c>
      <c r="F46" s="30"/>
      <c r="G46" s="9"/>
      <c r="H46" s="23"/>
      <c r="I46" s="8"/>
      <c r="J46" s="8"/>
      <c r="K46" s="24" t="n">
        <v>0.8</v>
      </c>
    </row>
    <row r="47" customFormat="false" ht="23.85" hidden="false" customHeight="false" outlineLevel="0" collapsed="false">
      <c r="A47" s="8"/>
      <c r="B47" s="23"/>
      <c r="C47" s="8"/>
      <c r="D47" s="8" t="s">
        <v>37</v>
      </c>
      <c r="E47" s="9" t="s">
        <v>60</v>
      </c>
      <c r="F47" s="30"/>
      <c r="G47" s="9"/>
      <c r="H47" s="23"/>
      <c r="I47" s="8"/>
      <c r="J47" s="8"/>
      <c r="K47" s="24" t="n">
        <v>0.4</v>
      </c>
    </row>
    <row r="48" customFormat="false" ht="12.75" hidden="false" customHeight="false" outlineLevel="0" collapsed="false">
      <c r="A48" s="8"/>
      <c r="B48" s="23"/>
      <c r="C48" s="8"/>
      <c r="D48" s="8" t="s">
        <v>37</v>
      </c>
      <c r="E48" s="9" t="s">
        <v>61</v>
      </c>
      <c r="F48" s="30"/>
      <c r="G48" s="9"/>
      <c r="H48" s="23"/>
      <c r="I48" s="8"/>
      <c r="J48" s="8"/>
      <c r="K48" s="24" t="n">
        <v>0.25</v>
      </c>
    </row>
    <row r="49" customFormat="false" ht="23.85" hidden="false" customHeight="false" outlineLevel="0" collapsed="false">
      <c r="A49" s="8"/>
      <c r="B49" s="23"/>
      <c r="C49" s="8"/>
      <c r="D49" s="8" t="s">
        <v>37</v>
      </c>
      <c r="E49" s="32" t="s">
        <v>62</v>
      </c>
      <c r="F49" s="30"/>
      <c r="G49" s="9"/>
      <c r="H49" s="23"/>
      <c r="I49" s="8"/>
      <c r="J49" s="8"/>
      <c r="K49" s="24" t="n">
        <v>0.1</v>
      </c>
    </row>
    <row r="50" customFormat="false" ht="12.75" hidden="false" customHeight="false" outlineLevel="0" collapsed="false">
      <c r="A50" s="8" t="s">
        <v>63</v>
      </c>
      <c r="B50" s="23" t="s">
        <v>64</v>
      </c>
      <c r="C50" s="8" t="s">
        <v>36</v>
      </c>
      <c r="D50" s="30"/>
      <c r="E50" s="9"/>
      <c r="F50" s="30"/>
      <c r="G50" s="9"/>
      <c r="H50" s="23"/>
      <c r="I50" s="8"/>
      <c r="J50" s="8"/>
      <c r="K50" s="24"/>
    </row>
    <row r="51" customFormat="false" ht="68.65" hidden="false" customHeight="false" outlineLevel="0" collapsed="false">
      <c r="A51" s="8"/>
      <c r="B51" s="23"/>
      <c r="C51" s="8"/>
      <c r="D51" s="30" t="s">
        <v>37</v>
      </c>
      <c r="E51" s="9" t="s">
        <v>65</v>
      </c>
      <c r="F51" s="30"/>
      <c r="G51" s="9" t="s">
        <v>66</v>
      </c>
      <c r="H51" s="23"/>
      <c r="I51" s="8"/>
      <c r="J51" s="8"/>
      <c r="K51" s="24" t="n">
        <v>1</v>
      </c>
    </row>
    <row r="52" customFormat="false" ht="23.85" hidden="false" customHeight="false" outlineLevel="0" collapsed="false">
      <c r="A52" s="8"/>
      <c r="B52" s="23"/>
      <c r="C52" s="8"/>
      <c r="D52" s="8" t="s">
        <v>37</v>
      </c>
      <c r="E52" s="32" t="s">
        <v>67</v>
      </c>
      <c r="F52" s="30"/>
      <c r="G52" s="9" t="s">
        <v>68</v>
      </c>
      <c r="H52" s="23"/>
      <c r="I52" s="8"/>
      <c r="J52" s="8"/>
      <c r="K52" s="24" t="n">
        <v>0.5</v>
      </c>
    </row>
    <row r="53" customFormat="false" ht="35.05" hidden="false" customHeight="false" outlineLevel="0" collapsed="false">
      <c r="A53" s="8"/>
      <c r="B53" s="23"/>
      <c r="C53" s="8"/>
      <c r="D53" s="8" t="s">
        <v>37</v>
      </c>
      <c r="E53" s="32" t="s">
        <v>69</v>
      </c>
      <c r="F53" s="30"/>
      <c r="G53" s="9" t="s">
        <v>70</v>
      </c>
      <c r="H53" s="23"/>
      <c r="I53" s="8"/>
      <c r="J53" s="8"/>
      <c r="K53" s="24" t="n">
        <v>0.5</v>
      </c>
    </row>
    <row r="54" customFormat="false" ht="35.05" hidden="false" customHeight="false" outlineLevel="0" collapsed="false">
      <c r="A54" s="8"/>
      <c r="B54" s="23"/>
      <c r="C54" s="8"/>
      <c r="D54" s="8" t="s">
        <v>37</v>
      </c>
      <c r="E54" s="32" t="s">
        <v>71</v>
      </c>
      <c r="F54" s="30"/>
      <c r="G54" s="9" t="s">
        <v>72</v>
      </c>
      <c r="H54" s="9"/>
      <c r="I54" s="30"/>
      <c r="J54" s="30"/>
      <c r="K54" s="24" t="n">
        <v>0.45</v>
      </c>
    </row>
    <row r="55" customFormat="false" ht="35.05" hidden="false" customHeight="false" outlineLevel="0" collapsed="false">
      <c r="A55" s="8"/>
      <c r="B55" s="23"/>
      <c r="C55" s="8"/>
      <c r="D55" s="8" t="s">
        <v>37</v>
      </c>
      <c r="E55" s="32" t="s">
        <v>73</v>
      </c>
      <c r="F55" s="30"/>
      <c r="G55" s="9"/>
      <c r="H55" s="9"/>
      <c r="I55" s="30"/>
      <c r="J55" s="30"/>
      <c r="K55" s="24" t="n">
        <v>0.2</v>
      </c>
    </row>
    <row r="56" customFormat="false" ht="46.25" hidden="false" customHeight="false" outlineLevel="0" collapsed="false">
      <c r="A56" s="8"/>
      <c r="B56" s="23"/>
      <c r="C56" s="8"/>
      <c r="D56" s="8" t="s">
        <v>37</v>
      </c>
      <c r="E56" s="32" t="s">
        <v>74</v>
      </c>
      <c r="F56" s="30"/>
      <c r="G56" s="32" t="s">
        <v>75</v>
      </c>
      <c r="H56" s="23"/>
      <c r="I56" s="8"/>
      <c r="J56" s="8"/>
      <c r="K56" s="24" t="n">
        <v>0.75</v>
      </c>
    </row>
    <row r="57" customFormat="false" ht="23.85" hidden="false" customHeight="false" outlineLevel="0" collapsed="false">
      <c r="A57" s="8"/>
      <c r="B57" s="23"/>
      <c r="C57" s="8"/>
      <c r="D57" s="8" t="s">
        <v>37</v>
      </c>
      <c r="E57" s="32" t="s">
        <v>76</v>
      </c>
      <c r="F57" s="30"/>
      <c r="G57" s="9"/>
      <c r="H57" s="23"/>
      <c r="I57" s="8"/>
      <c r="J57" s="8"/>
      <c r="K57" s="24" t="n">
        <v>0.75</v>
      </c>
    </row>
    <row r="58" customFormat="false" ht="12.75" hidden="false" customHeight="false" outlineLevel="0" collapsed="false">
      <c r="A58" s="8" t="s">
        <v>77</v>
      </c>
      <c r="B58" s="23" t="s">
        <v>78</v>
      </c>
      <c r="C58" s="8" t="s">
        <v>36</v>
      </c>
      <c r="D58" s="8"/>
      <c r="E58" s="9"/>
      <c r="F58" s="30"/>
      <c r="G58" s="9"/>
      <c r="H58" s="23"/>
      <c r="I58" s="8"/>
      <c r="J58" s="8"/>
      <c r="K58" s="24"/>
    </row>
    <row r="59" customFormat="false" ht="23.85" hidden="false" customHeight="false" outlineLevel="0" collapsed="false">
      <c r="A59" s="8"/>
      <c r="B59" s="23"/>
      <c r="C59" s="8"/>
      <c r="D59" s="8" t="s">
        <v>37</v>
      </c>
      <c r="E59" s="9" t="s">
        <v>79</v>
      </c>
      <c r="F59" s="30"/>
      <c r="G59" s="32" t="s">
        <v>80</v>
      </c>
      <c r="H59" s="9"/>
      <c r="I59" s="8"/>
      <c r="J59" s="8"/>
      <c r="K59" s="24" t="n">
        <v>0.15</v>
      </c>
    </row>
    <row r="60" customFormat="false" ht="57.45" hidden="false" customHeight="false" outlineLevel="0" collapsed="false">
      <c r="A60" s="8"/>
      <c r="B60" s="23"/>
      <c r="C60" s="8"/>
      <c r="D60" s="8" t="s">
        <v>37</v>
      </c>
      <c r="E60" s="9" t="s">
        <v>81</v>
      </c>
      <c r="F60" s="30"/>
      <c r="G60" s="32" t="s">
        <v>82</v>
      </c>
      <c r="H60" s="9"/>
      <c r="I60" s="8"/>
      <c r="J60" s="8"/>
      <c r="K60" s="24" t="n">
        <v>0.6</v>
      </c>
    </row>
    <row r="61" customFormat="false" ht="46.25" hidden="false" customHeight="false" outlineLevel="0" collapsed="false">
      <c r="A61" s="8"/>
      <c r="B61" s="23"/>
      <c r="C61" s="8"/>
      <c r="D61" s="8" t="s">
        <v>37</v>
      </c>
      <c r="E61" s="9" t="s">
        <v>83</v>
      </c>
      <c r="F61" s="30"/>
      <c r="G61" s="32" t="s">
        <v>84</v>
      </c>
      <c r="H61" s="23"/>
      <c r="I61" s="8"/>
      <c r="J61" s="8"/>
      <c r="K61" s="24" t="n">
        <v>0.45</v>
      </c>
    </row>
    <row r="62" customFormat="false" ht="57.45" hidden="false" customHeight="false" outlineLevel="0" collapsed="false">
      <c r="A62" s="8"/>
      <c r="B62" s="23"/>
      <c r="C62" s="8"/>
      <c r="D62" s="8" t="s">
        <v>37</v>
      </c>
      <c r="E62" s="32" t="s">
        <v>85</v>
      </c>
      <c r="F62" s="30"/>
      <c r="G62" s="9"/>
      <c r="H62" s="23"/>
      <c r="I62" s="8"/>
      <c r="J62" s="8"/>
      <c r="K62" s="24" t="n">
        <v>1</v>
      </c>
    </row>
    <row r="63" customFormat="false" ht="23.85" hidden="false" customHeight="false" outlineLevel="0" collapsed="false">
      <c r="A63" s="8"/>
      <c r="B63" s="23"/>
      <c r="C63" s="8"/>
      <c r="D63" s="8" t="s">
        <v>37</v>
      </c>
      <c r="E63" s="32" t="s">
        <v>86</v>
      </c>
      <c r="F63" s="30"/>
      <c r="G63" s="9"/>
      <c r="H63" s="9"/>
      <c r="I63" s="30"/>
      <c r="J63" s="30"/>
      <c r="K63" s="24" t="n">
        <v>0.25</v>
      </c>
    </row>
    <row r="64" customFormat="false" ht="23.85" hidden="false" customHeight="false" outlineLevel="0" collapsed="false">
      <c r="A64" s="30"/>
      <c r="B64" s="23"/>
      <c r="C64" s="8"/>
      <c r="D64" s="8" t="s">
        <v>37</v>
      </c>
      <c r="E64" s="32" t="s">
        <v>87</v>
      </c>
      <c r="F64" s="30"/>
      <c r="G64" s="9" t="s">
        <v>88</v>
      </c>
      <c r="H64" s="23"/>
      <c r="I64" s="8"/>
      <c r="J64" s="8"/>
      <c r="K64" s="24" t="n">
        <v>0.2</v>
      </c>
    </row>
    <row r="65" customFormat="false" ht="23.85" hidden="false" customHeight="false" outlineLevel="0" collapsed="false">
      <c r="A65" s="8"/>
      <c r="B65" s="23"/>
      <c r="C65" s="8"/>
      <c r="D65" s="8" t="s">
        <v>37</v>
      </c>
      <c r="E65" s="32" t="s">
        <v>89</v>
      </c>
      <c r="F65" s="30"/>
      <c r="G65" s="9" t="s">
        <v>90</v>
      </c>
      <c r="H65" s="23"/>
      <c r="I65" s="8"/>
      <c r="J65" s="8"/>
      <c r="K65" s="24" t="n">
        <v>0.6</v>
      </c>
    </row>
    <row r="66" customFormat="false" ht="23.85" hidden="false" customHeight="false" outlineLevel="0" collapsed="false">
      <c r="A66" s="8" t="s">
        <v>91</v>
      </c>
      <c r="B66" s="32" t="s">
        <v>92</v>
      </c>
      <c r="C66" s="8"/>
      <c r="D66" s="8"/>
      <c r="E66" s="32"/>
      <c r="F66" s="30"/>
      <c r="G66" s="9"/>
      <c r="H66" s="23"/>
      <c r="I66" s="8"/>
      <c r="J66" s="8"/>
      <c r="K66" s="24"/>
    </row>
    <row r="67" customFormat="false" ht="46.25" hidden="false" customHeight="false" outlineLevel="0" collapsed="false">
      <c r="A67" s="8"/>
      <c r="B67" s="23"/>
      <c r="C67" s="8"/>
      <c r="D67" s="30" t="s">
        <v>37</v>
      </c>
      <c r="E67" s="32" t="s">
        <v>93</v>
      </c>
      <c r="F67" s="30"/>
      <c r="G67" s="9" t="s">
        <v>94</v>
      </c>
      <c r="H67" s="9"/>
      <c r="I67" s="30"/>
      <c r="J67" s="30"/>
      <c r="K67" s="24" t="n">
        <v>2</v>
      </c>
    </row>
    <row r="68" customFormat="false" ht="23.85" hidden="false" customHeight="false" outlineLevel="0" collapsed="false">
      <c r="A68" s="8"/>
      <c r="B68" s="23"/>
      <c r="C68" s="8"/>
      <c r="D68" s="30" t="s">
        <v>37</v>
      </c>
      <c r="E68" s="32" t="s">
        <v>95</v>
      </c>
      <c r="F68" s="30"/>
      <c r="G68" s="9"/>
      <c r="H68" s="9"/>
      <c r="I68" s="8"/>
      <c r="J68" s="8"/>
      <c r="K68" s="24" t="n">
        <v>0.5</v>
      </c>
    </row>
    <row r="69" customFormat="false" ht="12.75" hidden="false" customHeight="false" outlineLevel="0" collapsed="false">
      <c r="A69" s="8"/>
      <c r="B69" s="23"/>
      <c r="C69" s="8"/>
      <c r="D69" s="30" t="s">
        <v>37</v>
      </c>
      <c r="E69" s="32" t="s">
        <v>96</v>
      </c>
      <c r="F69" s="30"/>
      <c r="G69" s="9"/>
      <c r="H69" s="9"/>
      <c r="I69" s="30"/>
      <c r="J69" s="30"/>
      <c r="K69" s="24" t="n">
        <v>0.1</v>
      </c>
    </row>
    <row r="70" customFormat="false" ht="23.85" hidden="false" customHeight="false" outlineLevel="0" collapsed="false">
      <c r="A70" s="8"/>
      <c r="B70" s="23"/>
      <c r="C70" s="8"/>
      <c r="D70" s="30" t="s">
        <v>37</v>
      </c>
      <c r="E70" s="32" t="s">
        <v>97</v>
      </c>
      <c r="F70" s="30"/>
      <c r="G70" s="9"/>
      <c r="H70" s="23"/>
      <c r="I70" s="8"/>
      <c r="J70" s="8"/>
      <c r="K70" s="24" t="n">
        <v>0.2</v>
      </c>
    </row>
    <row r="71" customFormat="false" ht="23.85" hidden="false" customHeight="false" outlineLevel="0" collapsed="false">
      <c r="A71" s="8"/>
      <c r="B71" s="23"/>
      <c r="C71" s="8"/>
      <c r="D71" s="8" t="s">
        <v>37</v>
      </c>
      <c r="E71" s="32" t="s">
        <v>98</v>
      </c>
      <c r="F71" s="30"/>
      <c r="G71" s="9"/>
      <c r="H71" s="23"/>
      <c r="I71" s="8"/>
      <c r="J71" s="8"/>
      <c r="K71" s="24" t="n">
        <v>0.1</v>
      </c>
    </row>
    <row r="72" customFormat="false" ht="35.05" hidden="false" customHeight="false" outlineLevel="0" collapsed="false">
      <c r="A72" s="8"/>
      <c r="B72" s="23"/>
      <c r="C72" s="8"/>
      <c r="D72" s="8" t="s">
        <v>37</v>
      </c>
      <c r="E72" s="32" t="s">
        <v>99</v>
      </c>
      <c r="F72" s="30"/>
      <c r="G72" s="9"/>
      <c r="H72" s="9"/>
      <c r="I72" s="30"/>
      <c r="J72" s="30"/>
      <c r="K72" s="24" t="n">
        <v>0.2</v>
      </c>
    </row>
    <row r="73" customFormat="false" ht="12.75" hidden="false" customHeight="false" outlineLevel="0" collapsed="false">
      <c r="A73" s="8" t="s">
        <v>100</v>
      </c>
      <c r="B73" s="23" t="s">
        <v>101</v>
      </c>
      <c r="C73" s="8" t="s">
        <v>36</v>
      </c>
      <c r="D73" s="8"/>
      <c r="E73" s="32"/>
      <c r="F73" s="30"/>
      <c r="G73" s="9"/>
      <c r="H73" s="9"/>
      <c r="I73" s="8"/>
      <c r="J73" s="8"/>
      <c r="K73" s="24"/>
    </row>
    <row r="74" customFormat="false" ht="12.75" hidden="false" customHeight="false" outlineLevel="0" collapsed="false">
      <c r="A74" s="8"/>
      <c r="B74" s="23"/>
      <c r="C74" s="8"/>
      <c r="D74" s="8" t="s">
        <v>37</v>
      </c>
      <c r="E74" s="9" t="s">
        <v>65</v>
      </c>
      <c r="F74" s="30"/>
      <c r="G74" s="9" t="s">
        <v>102</v>
      </c>
      <c r="H74" s="9"/>
      <c r="I74" s="30"/>
      <c r="J74" s="30"/>
      <c r="K74" s="24" t="n">
        <v>1</v>
      </c>
    </row>
    <row r="75" customFormat="false" ht="35.05" hidden="false" customHeight="false" outlineLevel="0" collapsed="false">
      <c r="A75" s="8"/>
      <c r="B75" s="23"/>
      <c r="C75" s="8"/>
      <c r="D75" s="8" t="s">
        <v>37</v>
      </c>
      <c r="E75" s="32" t="s">
        <v>103</v>
      </c>
      <c r="F75" s="30"/>
      <c r="G75" s="9" t="s">
        <v>104</v>
      </c>
      <c r="H75" s="23"/>
      <c r="I75" s="8"/>
      <c r="J75" s="8"/>
      <c r="K75" s="24" t="n">
        <v>0.2</v>
      </c>
    </row>
    <row r="76" customFormat="false" ht="23.85" hidden="false" customHeight="false" outlineLevel="0" collapsed="false">
      <c r="A76" s="8"/>
      <c r="B76" s="23"/>
      <c r="C76" s="8"/>
      <c r="D76" s="8" t="s">
        <v>37</v>
      </c>
      <c r="E76" s="32" t="s">
        <v>105</v>
      </c>
      <c r="F76" s="30"/>
      <c r="G76" s="9" t="s">
        <v>106</v>
      </c>
      <c r="H76" s="23"/>
      <c r="I76" s="8"/>
      <c r="J76" s="8"/>
      <c r="K76" s="24" t="n">
        <v>0.5</v>
      </c>
    </row>
    <row r="77" customFormat="false" ht="35.05" hidden="false" customHeight="false" outlineLevel="0" collapsed="false">
      <c r="A77" s="8"/>
      <c r="B77" s="23"/>
      <c r="C77" s="8"/>
      <c r="D77" s="8" t="s">
        <v>37</v>
      </c>
      <c r="E77" s="32" t="s">
        <v>107</v>
      </c>
      <c r="F77" s="30"/>
      <c r="G77" s="9" t="s">
        <v>102</v>
      </c>
      <c r="H77" s="23"/>
      <c r="I77" s="8"/>
      <c r="J77" s="8"/>
      <c r="K77" s="24" t="n">
        <v>0.3</v>
      </c>
    </row>
    <row r="78" customFormat="false" ht="23.85" hidden="false" customHeight="false" outlineLevel="0" collapsed="false">
      <c r="A78" s="8"/>
      <c r="B78" s="23"/>
      <c r="C78" s="8"/>
      <c r="D78" s="8" t="s">
        <v>37</v>
      </c>
      <c r="E78" s="32" t="s">
        <v>108</v>
      </c>
      <c r="F78" s="30"/>
      <c r="G78" s="9" t="s">
        <v>102</v>
      </c>
      <c r="H78" s="23"/>
      <c r="I78" s="8"/>
      <c r="J78" s="8"/>
      <c r="K78" s="24" t="n">
        <v>0.3</v>
      </c>
    </row>
    <row r="79" customFormat="false" ht="23.85" hidden="false" customHeight="false" outlineLevel="0" collapsed="false">
      <c r="A79" s="8"/>
      <c r="B79" s="23"/>
      <c r="C79" s="8"/>
      <c r="D79" s="8" t="s">
        <v>37</v>
      </c>
      <c r="E79" s="9" t="s">
        <v>109</v>
      </c>
      <c r="F79" s="30"/>
      <c r="G79" s="9"/>
      <c r="H79" s="23"/>
      <c r="I79" s="8"/>
      <c r="J79" s="8"/>
      <c r="K79" s="24" t="n">
        <v>0.5</v>
      </c>
    </row>
    <row r="80" customFormat="false" ht="23.85" hidden="false" customHeight="false" outlineLevel="0" collapsed="false">
      <c r="A80" s="8"/>
      <c r="B80" s="23"/>
      <c r="C80" s="8"/>
      <c r="D80" s="8" t="s">
        <v>37</v>
      </c>
      <c r="E80" s="9" t="s">
        <v>110</v>
      </c>
      <c r="F80" s="30"/>
      <c r="G80" s="9"/>
      <c r="H80" s="23"/>
      <c r="I80" s="8"/>
      <c r="J80" s="8"/>
      <c r="K80" s="24" t="n">
        <v>0.5</v>
      </c>
    </row>
    <row r="81" customFormat="false" ht="23.85" hidden="false" customHeight="false" outlineLevel="0" collapsed="false">
      <c r="A81" s="8"/>
      <c r="B81" s="23"/>
      <c r="C81" s="8"/>
      <c r="D81" s="8" t="s">
        <v>37</v>
      </c>
      <c r="E81" s="9" t="s">
        <v>111</v>
      </c>
      <c r="F81" s="30"/>
      <c r="G81" s="9"/>
      <c r="H81" s="23"/>
      <c r="I81" s="8"/>
      <c r="J81" s="8"/>
      <c r="K81" s="24" t="n">
        <v>0.25</v>
      </c>
    </row>
    <row r="82" customFormat="false" ht="23.85" hidden="false" customHeight="false" outlineLevel="0" collapsed="false">
      <c r="A82" s="8"/>
      <c r="B82" s="23"/>
      <c r="C82" s="8"/>
      <c r="D82" s="8" t="s">
        <v>37</v>
      </c>
      <c r="E82" s="32" t="s">
        <v>112</v>
      </c>
      <c r="F82" s="30"/>
      <c r="G82" s="9"/>
      <c r="H82" s="23"/>
      <c r="I82" s="8"/>
      <c r="J82" s="8"/>
      <c r="K82" s="24" t="n">
        <v>0.1</v>
      </c>
    </row>
    <row r="83" customFormat="false" ht="35.05" hidden="false" customHeight="false" outlineLevel="0" collapsed="false">
      <c r="A83" s="8"/>
      <c r="B83" s="23"/>
      <c r="C83" s="8"/>
      <c r="D83" s="8" t="s">
        <v>37</v>
      </c>
      <c r="E83" s="32" t="s">
        <v>113</v>
      </c>
      <c r="F83" s="30"/>
      <c r="G83" s="9"/>
      <c r="H83" s="23"/>
      <c r="I83" s="8"/>
      <c r="J83" s="8"/>
      <c r="K83" s="24" t="n">
        <v>0.5</v>
      </c>
    </row>
    <row r="84" customFormat="false" ht="46.25" hidden="false" customHeight="false" outlineLevel="0" collapsed="false">
      <c r="A84" s="8"/>
      <c r="B84" s="23"/>
      <c r="C84" s="8"/>
      <c r="D84" s="8" t="s">
        <v>37</v>
      </c>
      <c r="E84" s="32" t="s">
        <v>114</v>
      </c>
      <c r="F84" s="30"/>
      <c r="G84" s="9" t="s">
        <v>115</v>
      </c>
      <c r="H84" s="23"/>
      <c r="I84" s="8"/>
      <c r="J84" s="8"/>
      <c r="K84" s="24" t="n">
        <v>1</v>
      </c>
    </row>
    <row r="85" customFormat="false" ht="68.65" hidden="false" customHeight="false" outlineLevel="0" collapsed="false">
      <c r="A85" s="6" t="s">
        <v>21</v>
      </c>
      <c r="B85" s="6" t="s">
        <v>22</v>
      </c>
      <c r="C85" s="6" t="s">
        <v>23</v>
      </c>
      <c r="D85" s="6" t="s">
        <v>24</v>
      </c>
      <c r="E85" s="6" t="s">
        <v>25</v>
      </c>
      <c r="F85" s="6" t="s">
        <v>26</v>
      </c>
      <c r="G85" s="6" t="s">
        <v>27</v>
      </c>
      <c r="H85" s="6" t="s">
        <v>28</v>
      </c>
      <c r="I85" s="6" t="s">
        <v>29</v>
      </c>
      <c r="J85" s="6" t="s">
        <v>30</v>
      </c>
      <c r="K85" s="6" t="s">
        <v>31</v>
      </c>
      <c r="L85" s="27" t="s">
        <v>116</v>
      </c>
      <c r="M85" s="28" t="s">
        <v>33</v>
      </c>
      <c r="N85" s="29" t="n">
        <f aca="false">SUM(K86:K92)</f>
        <v>0</v>
      </c>
    </row>
    <row r="86" customFormat="false" ht="12.75" hidden="false" customHeight="false" outlineLevel="0" collapsed="false">
      <c r="A86" s="8"/>
      <c r="B86" s="23"/>
      <c r="C86" s="8"/>
      <c r="D86" s="8"/>
      <c r="E86" s="23"/>
      <c r="F86" s="8"/>
      <c r="G86" s="23"/>
      <c r="H86" s="23"/>
      <c r="I86" s="8"/>
      <c r="J86" s="8"/>
      <c r="K86" s="24"/>
    </row>
    <row r="87" customFormat="false" ht="12.75" hidden="false" customHeight="false" outlineLevel="0" collapsed="false">
      <c r="A87" s="8"/>
      <c r="B87" s="23"/>
      <c r="C87" s="8"/>
      <c r="D87" s="8"/>
      <c r="E87" s="23"/>
      <c r="F87" s="8"/>
      <c r="G87" s="23"/>
      <c r="H87" s="23"/>
      <c r="I87" s="8"/>
      <c r="J87" s="8"/>
      <c r="K87" s="24"/>
    </row>
    <row r="88" customFormat="false" ht="12.75" hidden="false" customHeight="false" outlineLevel="0" collapsed="false">
      <c r="A88" s="8"/>
      <c r="B88" s="23"/>
      <c r="C88" s="8"/>
      <c r="D88" s="8"/>
      <c r="E88" s="23"/>
      <c r="F88" s="8"/>
      <c r="G88" s="23"/>
      <c r="H88" s="23"/>
      <c r="I88" s="8"/>
      <c r="J88" s="8"/>
      <c r="K88" s="24"/>
    </row>
    <row r="89" customFormat="false" ht="12.75" hidden="false" customHeight="false" outlineLevel="0" collapsed="false">
      <c r="A89" s="8"/>
      <c r="B89" s="23"/>
      <c r="C89" s="8"/>
      <c r="D89" s="8"/>
      <c r="E89" s="23"/>
      <c r="F89" s="8"/>
      <c r="G89" s="23"/>
      <c r="H89" s="23"/>
      <c r="I89" s="8"/>
      <c r="J89" s="8"/>
      <c r="K89" s="24"/>
    </row>
    <row r="90" customFormat="false" ht="12.75" hidden="false" customHeight="false" outlineLevel="0" collapsed="false">
      <c r="A90" s="8"/>
      <c r="B90" s="23"/>
      <c r="C90" s="8"/>
      <c r="D90" s="8"/>
      <c r="E90" s="23"/>
      <c r="F90" s="8"/>
      <c r="G90" s="23"/>
      <c r="H90" s="23"/>
      <c r="I90" s="8"/>
      <c r="J90" s="8"/>
      <c r="K90" s="24"/>
    </row>
    <row r="91" customFormat="false" ht="12.75" hidden="false" customHeight="false" outlineLevel="0" collapsed="false">
      <c r="A91" s="8"/>
      <c r="B91" s="23"/>
      <c r="C91" s="8"/>
      <c r="D91" s="8"/>
      <c r="E91" s="23"/>
      <c r="F91" s="8"/>
      <c r="G91" s="23"/>
      <c r="H91" s="23"/>
      <c r="I91" s="8"/>
      <c r="J91" s="8"/>
      <c r="K91" s="24"/>
    </row>
    <row r="92" customFormat="false" ht="12.75" hidden="false" customHeight="false" outlineLevel="0" collapsed="false">
      <c r="A92" s="8"/>
      <c r="B92" s="23"/>
      <c r="C92" s="8"/>
      <c r="D92" s="8"/>
      <c r="E92" s="23"/>
      <c r="F92" s="8"/>
      <c r="G92" s="23"/>
      <c r="H92" s="23"/>
      <c r="I92" s="8"/>
      <c r="J92" s="8"/>
      <c r="K92" s="24"/>
    </row>
    <row r="93" customFormat="false" ht="68.65" hidden="false" customHeight="false" outlineLevel="0" collapsed="false">
      <c r="A93" s="6" t="s">
        <v>21</v>
      </c>
      <c r="B93" s="6" t="s">
        <v>22</v>
      </c>
      <c r="C93" s="6" t="s">
        <v>23</v>
      </c>
      <c r="D93" s="6" t="s">
        <v>24</v>
      </c>
      <c r="E93" s="6" t="s">
        <v>25</v>
      </c>
      <c r="F93" s="6" t="s">
        <v>26</v>
      </c>
      <c r="G93" s="6" t="s">
        <v>27</v>
      </c>
      <c r="H93" s="6" t="s">
        <v>28</v>
      </c>
      <c r="I93" s="6" t="s">
        <v>29</v>
      </c>
      <c r="J93" s="6" t="s">
        <v>30</v>
      </c>
      <c r="K93" s="6" t="s">
        <v>31</v>
      </c>
      <c r="L93" s="27" t="s">
        <v>117</v>
      </c>
      <c r="M93" s="28" t="s">
        <v>33</v>
      </c>
      <c r="N93" s="29" t="n">
        <f aca="false">SUM(K94:K100)</f>
        <v>0</v>
      </c>
    </row>
    <row r="94" customFormat="false" ht="12.75" hidden="false" customHeight="false" outlineLevel="0" collapsed="false">
      <c r="A94" s="8"/>
      <c r="B94" s="23"/>
      <c r="C94" s="8"/>
      <c r="D94" s="8"/>
      <c r="E94" s="23"/>
      <c r="F94" s="8"/>
      <c r="G94" s="23"/>
      <c r="H94" s="23"/>
      <c r="I94" s="8"/>
      <c r="J94" s="8"/>
      <c r="K94" s="24"/>
    </row>
    <row r="95" customFormat="false" ht="12.75" hidden="false" customHeight="false" outlineLevel="0" collapsed="false">
      <c r="A95" s="8"/>
      <c r="B95" s="23"/>
      <c r="C95" s="8"/>
      <c r="D95" s="8"/>
      <c r="E95" s="23"/>
      <c r="F95" s="8"/>
      <c r="G95" s="23"/>
      <c r="H95" s="23"/>
      <c r="I95" s="8"/>
      <c r="J95" s="8"/>
      <c r="K95" s="24"/>
    </row>
    <row r="96" customFormat="false" ht="12.75" hidden="false" customHeight="false" outlineLevel="0" collapsed="false">
      <c r="A96" s="8"/>
      <c r="B96" s="23"/>
      <c r="C96" s="8"/>
      <c r="D96" s="8"/>
      <c r="E96" s="23"/>
      <c r="F96" s="8"/>
      <c r="G96" s="23"/>
      <c r="H96" s="23"/>
      <c r="I96" s="8"/>
      <c r="J96" s="8"/>
      <c r="K96" s="24"/>
    </row>
    <row r="97" customFormat="false" ht="12.75" hidden="false" customHeight="false" outlineLevel="0" collapsed="false">
      <c r="A97" s="8"/>
      <c r="B97" s="23"/>
      <c r="C97" s="8"/>
      <c r="D97" s="8"/>
      <c r="E97" s="23"/>
      <c r="F97" s="8"/>
      <c r="G97" s="23"/>
      <c r="H97" s="23"/>
      <c r="I97" s="8"/>
      <c r="J97" s="8"/>
      <c r="K97" s="24"/>
    </row>
    <row r="98" customFormat="false" ht="12.75" hidden="false" customHeight="false" outlineLevel="0" collapsed="false">
      <c r="A98" s="8"/>
      <c r="B98" s="23"/>
      <c r="C98" s="8"/>
      <c r="D98" s="8"/>
      <c r="E98" s="23"/>
      <c r="F98" s="8"/>
      <c r="G98" s="23"/>
      <c r="H98" s="23"/>
      <c r="I98" s="8"/>
      <c r="J98" s="8"/>
      <c r="K98" s="24"/>
    </row>
    <row r="99" customFormat="false" ht="12.75" hidden="false" customHeight="false" outlineLevel="0" collapsed="false">
      <c r="A99" s="8"/>
      <c r="B99" s="23"/>
      <c r="C99" s="8"/>
      <c r="D99" s="8"/>
      <c r="E99" s="23"/>
      <c r="F99" s="8"/>
      <c r="G99" s="23"/>
      <c r="H99" s="23"/>
      <c r="I99" s="8"/>
      <c r="J99" s="8"/>
      <c r="K99" s="24"/>
    </row>
    <row r="100" customFormat="false" ht="12.75" hidden="false" customHeight="false" outlineLevel="0" collapsed="false">
      <c r="A100" s="8"/>
      <c r="B100" s="23"/>
      <c r="C100" s="8"/>
      <c r="D100" s="8"/>
      <c r="E100" s="23"/>
      <c r="F100" s="8"/>
      <c r="G100" s="23"/>
      <c r="H100" s="23"/>
      <c r="I100" s="8"/>
      <c r="J100" s="8"/>
      <c r="K100" s="24"/>
    </row>
    <row r="101" customFormat="false" ht="68.65" hidden="false" customHeight="false" outlineLevel="0" collapsed="false">
      <c r="A101" s="6" t="s">
        <v>21</v>
      </c>
      <c r="B101" s="6" t="s">
        <v>22</v>
      </c>
      <c r="C101" s="6" t="s">
        <v>23</v>
      </c>
      <c r="D101" s="6" t="s">
        <v>24</v>
      </c>
      <c r="E101" s="6" t="s">
        <v>25</v>
      </c>
      <c r="F101" s="6" t="s">
        <v>26</v>
      </c>
      <c r="G101" s="6" t="s">
        <v>27</v>
      </c>
      <c r="H101" s="6" t="s">
        <v>28</v>
      </c>
      <c r="I101" s="6" t="s">
        <v>29</v>
      </c>
      <c r="J101" s="6" t="s">
        <v>30</v>
      </c>
      <c r="K101" s="6" t="s">
        <v>31</v>
      </c>
      <c r="L101" s="27" t="s">
        <v>118</v>
      </c>
      <c r="M101" s="28" t="s">
        <v>33</v>
      </c>
      <c r="N101" s="29" t="n">
        <f aca="false">SUM(K102:K108)</f>
        <v>0</v>
      </c>
    </row>
    <row r="102" customFormat="false" ht="12.75" hidden="false" customHeight="false" outlineLevel="0" collapsed="false">
      <c r="A102" s="8"/>
      <c r="B102" s="23"/>
      <c r="C102" s="8"/>
      <c r="D102" s="8"/>
      <c r="E102" s="23"/>
      <c r="F102" s="8"/>
      <c r="G102" s="23"/>
      <c r="H102" s="23"/>
      <c r="I102" s="8"/>
      <c r="J102" s="8"/>
      <c r="K102" s="24"/>
    </row>
    <row r="103" customFormat="false" ht="12.75" hidden="false" customHeight="false" outlineLevel="0" collapsed="false">
      <c r="A103" s="8"/>
      <c r="B103" s="23"/>
      <c r="C103" s="8"/>
      <c r="D103" s="8"/>
      <c r="E103" s="23"/>
      <c r="F103" s="8"/>
      <c r="G103" s="23"/>
      <c r="H103" s="23"/>
      <c r="I103" s="8"/>
      <c r="J103" s="8"/>
      <c r="K103" s="24"/>
    </row>
    <row r="104" customFormat="false" ht="12.75" hidden="false" customHeight="false" outlineLevel="0" collapsed="false">
      <c r="A104" s="8"/>
      <c r="B104" s="23"/>
      <c r="C104" s="8"/>
      <c r="D104" s="8"/>
      <c r="E104" s="23"/>
      <c r="F104" s="8"/>
      <c r="G104" s="23"/>
      <c r="H104" s="23"/>
      <c r="I104" s="8"/>
      <c r="J104" s="8"/>
      <c r="K104" s="24"/>
    </row>
    <row r="105" customFormat="false" ht="12.75" hidden="false" customHeight="false" outlineLevel="0" collapsed="false">
      <c r="A105" s="8"/>
      <c r="B105" s="23"/>
      <c r="C105" s="8"/>
      <c r="D105" s="8"/>
      <c r="E105" s="23"/>
      <c r="F105" s="8"/>
      <c r="G105" s="23"/>
      <c r="H105" s="23"/>
      <c r="I105" s="8"/>
      <c r="J105" s="8"/>
      <c r="K105" s="24"/>
    </row>
    <row r="106" customFormat="false" ht="12.75" hidden="false" customHeight="false" outlineLevel="0" collapsed="false">
      <c r="A106" s="8"/>
      <c r="B106" s="23"/>
      <c r="C106" s="8"/>
      <c r="D106" s="8"/>
      <c r="E106" s="23"/>
      <c r="F106" s="8"/>
      <c r="G106" s="23"/>
      <c r="H106" s="23"/>
      <c r="I106" s="8"/>
      <c r="J106" s="8"/>
      <c r="K106" s="24"/>
    </row>
    <row r="107" customFormat="false" ht="12.75" hidden="false" customHeight="false" outlineLevel="0" collapsed="false">
      <c r="A107" s="8"/>
      <c r="B107" s="23"/>
      <c r="C107" s="8"/>
      <c r="D107" s="8"/>
      <c r="E107" s="23"/>
      <c r="F107" s="8"/>
      <c r="G107" s="23"/>
      <c r="H107" s="23"/>
      <c r="I107" s="8"/>
      <c r="J107" s="8"/>
      <c r="K107" s="24"/>
    </row>
    <row r="108" customFormat="false" ht="12.75" hidden="false" customHeight="false" outlineLevel="0" collapsed="false">
      <c r="A108" s="8"/>
      <c r="B108" s="23"/>
      <c r="C108" s="8"/>
      <c r="D108" s="8"/>
      <c r="E108" s="23"/>
      <c r="F108" s="8"/>
      <c r="G108" s="23"/>
      <c r="H108" s="23"/>
      <c r="I108" s="8"/>
      <c r="J108" s="8"/>
      <c r="K108" s="24"/>
    </row>
    <row r="109" customFormat="false" ht="68.65" hidden="false" customHeight="false" outlineLevel="0" collapsed="false">
      <c r="A109" s="6" t="s">
        <v>21</v>
      </c>
      <c r="B109" s="6" t="s">
        <v>22</v>
      </c>
      <c r="C109" s="6" t="s">
        <v>23</v>
      </c>
      <c r="D109" s="6" t="s">
        <v>24</v>
      </c>
      <c r="E109" s="6" t="s">
        <v>25</v>
      </c>
      <c r="F109" s="6" t="s">
        <v>26</v>
      </c>
      <c r="G109" s="6" t="s">
        <v>27</v>
      </c>
      <c r="H109" s="6" t="s">
        <v>28</v>
      </c>
      <c r="I109" s="6" t="s">
        <v>29</v>
      </c>
      <c r="J109" s="6" t="s">
        <v>30</v>
      </c>
      <c r="K109" s="6" t="s">
        <v>31</v>
      </c>
      <c r="L109" s="27" t="s">
        <v>119</v>
      </c>
      <c r="M109" s="28" t="s">
        <v>33</v>
      </c>
      <c r="N109" s="29" t="n">
        <f aca="false">SUM(K110:K116)</f>
        <v>0</v>
      </c>
    </row>
    <row r="110" customFormat="false" ht="12.75" hidden="false" customHeight="false" outlineLevel="0" collapsed="false">
      <c r="A110" s="8"/>
      <c r="B110" s="23"/>
      <c r="C110" s="8"/>
      <c r="D110" s="8"/>
      <c r="E110" s="23"/>
      <c r="F110" s="8"/>
      <c r="G110" s="23"/>
      <c r="H110" s="23"/>
      <c r="I110" s="8"/>
      <c r="J110" s="8"/>
      <c r="K110" s="24"/>
    </row>
    <row r="111" customFormat="false" ht="12.75" hidden="false" customHeight="false" outlineLevel="0" collapsed="false">
      <c r="A111" s="8"/>
      <c r="B111" s="23"/>
      <c r="C111" s="8"/>
      <c r="D111" s="8"/>
      <c r="E111" s="23"/>
      <c r="F111" s="8"/>
      <c r="G111" s="23"/>
      <c r="H111" s="23"/>
      <c r="I111" s="8"/>
      <c r="J111" s="8"/>
      <c r="K111" s="24"/>
    </row>
    <row r="112" customFormat="false" ht="12.75" hidden="false" customHeight="false" outlineLevel="0" collapsed="false">
      <c r="A112" s="8"/>
      <c r="B112" s="23"/>
      <c r="C112" s="8"/>
      <c r="D112" s="8"/>
      <c r="E112" s="23"/>
      <c r="F112" s="8"/>
      <c r="G112" s="23"/>
      <c r="H112" s="23"/>
      <c r="I112" s="8"/>
      <c r="J112" s="8"/>
      <c r="K112" s="24"/>
    </row>
    <row r="113" customFormat="false" ht="12.75" hidden="false" customHeight="false" outlineLevel="0" collapsed="false">
      <c r="A113" s="8"/>
      <c r="B113" s="23"/>
      <c r="C113" s="8"/>
      <c r="D113" s="8"/>
      <c r="E113" s="23"/>
      <c r="F113" s="8"/>
      <c r="G113" s="23"/>
      <c r="H113" s="23"/>
      <c r="I113" s="8"/>
      <c r="J113" s="8"/>
      <c r="K113" s="24"/>
    </row>
    <row r="114" customFormat="false" ht="12.75" hidden="false" customHeight="false" outlineLevel="0" collapsed="false">
      <c r="A114" s="8"/>
      <c r="B114" s="23"/>
      <c r="C114" s="8"/>
      <c r="D114" s="8"/>
      <c r="E114" s="23"/>
      <c r="F114" s="8"/>
      <c r="G114" s="23"/>
      <c r="H114" s="23"/>
      <c r="I114" s="8"/>
      <c r="J114" s="8"/>
      <c r="K114" s="24"/>
    </row>
    <row r="115" customFormat="false" ht="12.75" hidden="false" customHeight="false" outlineLevel="0" collapsed="false">
      <c r="A115" s="8"/>
      <c r="B115" s="23"/>
      <c r="C115" s="8"/>
      <c r="D115" s="8"/>
      <c r="E115" s="23"/>
      <c r="F115" s="8"/>
      <c r="G115" s="23"/>
      <c r="H115" s="23"/>
      <c r="I115" s="8"/>
      <c r="J115" s="8"/>
      <c r="K115" s="24"/>
    </row>
    <row r="116" customFormat="false" ht="12.75" hidden="false" customHeight="false" outlineLevel="0" collapsed="false">
      <c r="A116" s="8"/>
      <c r="B116" s="23"/>
      <c r="C116" s="8"/>
      <c r="D116" s="8"/>
      <c r="E116" s="23"/>
      <c r="F116" s="8"/>
      <c r="G116" s="23"/>
      <c r="H116" s="23"/>
      <c r="I116" s="8"/>
      <c r="J116" s="8"/>
      <c r="K116" s="24"/>
    </row>
    <row r="117" customFormat="false" ht="68.65" hidden="false" customHeight="false" outlineLevel="0" collapsed="false">
      <c r="A117" s="6" t="s">
        <v>21</v>
      </c>
      <c r="B117" s="6" t="s">
        <v>22</v>
      </c>
      <c r="C117" s="6" t="s">
        <v>23</v>
      </c>
      <c r="D117" s="6" t="s">
        <v>24</v>
      </c>
      <c r="E117" s="6" t="s">
        <v>25</v>
      </c>
      <c r="F117" s="6" t="s">
        <v>26</v>
      </c>
      <c r="G117" s="6" t="s">
        <v>27</v>
      </c>
      <c r="H117" s="6" t="s">
        <v>28</v>
      </c>
      <c r="I117" s="6" t="s">
        <v>29</v>
      </c>
      <c r="J117" s="6" t="s">
        <v>30</v>
      </c>
      <c r="K117" s="6" t="s">
        <v>31</v>
      </c>
      <c r="L117" s="27" t="s">
        <v>120</v>
      </c>
      <c r="M117" s="28" t="s">
        <v>33</v>
      </c>
      <c r="N117" s="29" t="n">
        <f aca="false">SUM(K118:K122)</f>
        <v>0</v>
      </c>
    </row>
    <row r="118" customFormat="false" ht="12.75" hidden="false" customHeight="false" outlineLevel="0" collapsed="false">
      <c r="A118" s="8"/>
      <c r="B118" s="23"/>
      <c r="C118" s="8"/>
      <c r="D118" s="8"/>
      <c r="E118" s="23"/>
      <c r="F118" s="8"/>
      <c r="G118" s="23"/>
      <c r="H118" s="23"/>
      <c r="I118" s="8"/>
      <c r="J118" s="8"/>
      <c r="K118" s="24"/>
    </row>
    <row r="119" customFormat="false" ht="12.75" hidden="false" customHeight="false" outlineLevel="0" collapsed="false">
      <c r="A119" s="8"/>
      <c r="B119" s="23"/>
      <c r="C119" s="8"/>
      <c r="D119" s="8"/>
      <c r="E119" s="23"/>
      <c r="F119" s="8"/>
      <c r="G119" s="23"/>
      <c r="H119" s="23"/>
      <c r="I119" s="8"/>
      <c r="J119" s="8"/>
      <c r="K119" s="24"/>
    </row>
    <row r="120" customFormat="false" ht="12.75" hidden="false" customHeight="false" outlineLevel="0" collapsed="false">
      <c r="A120" s="8"/>
      <c r="B120" s="23"/>
      <c r="C120" s="8"/>
      <c r="D120" s="8"/>
      <c r="E120" s="23"/>
      <c r="F120" s="8"/>
      <c r="G120" s="23"/>
      <c r="H120" s="23"/>
      <c r="I120" s="8"/>
      <c r="J120" s="8"/>
      <c r="K120" s="24"/>
    </row>
    <row r="121" customFormat="false" ht="12.75" hidden="false" customHeight="false" outlineLevel="0" collapsed="false">
      <c r="A121" s="8"/>
      <c r="B121" s="23"/>
      <c r="C121" s="8"/>
      <c r="D121" s="8"/>
      <c r="E121" s="23"/>
      <c r="F121" s="8"/>
      <c r="G121" s="23"/>
      <c r="H121" s="23"/>
      <c r="I121" s="8"/>
      <c r="J121" s="8"/>
      <c r="K121" s="24"/>
    </row>
    <row r="122" customFormat="false" ht="12.75" hidden="false" customHeight="false" outlineLevel="0" collapsed="false">
      <c r="A122" s="8"/>
      <c r="B122" s="23"/>
      <c r="C122" s="8"/>
      <c r="D122" s="8"/>
      <c r="E122" s="23"/>
      <c r="F122" s="8"/>
      <c r="G122" s="23"/>
      <c r="H122" s="23"/>
      <c r="I122" s="8"/>
      <c r="J122" s="8"/>
      <c r="K122" s="24"/>
    </row>
    <row r="123" customFormat="false" ht="68.65" hidden="false" customHeight="false" outlineLevel="0" collapsed="false">
      <c r="A123" s="6" t="s">
        <v>21</v>
      </c>
      <c r="B123" s="6" t="s">
        <v>22</v>
      </c>
      <c r="C123" s="6" t="s">
        <v>23</v>
      </c>
      <c r="D123" s="6" t="s">
        <v>24</v>
      </c>
      <c r="E123" s="6" t="s">
        <v>25</v>
      </c>
      <c r="F123" s="6" t="s">
        <v>26</v>
      </c>
      <c r="G123" s="6" t="s">
        <v>27</v>
      </c>
      <c r="H123" s="6" t="s">
        <v>28</v>
      </c>
      <c r="I123" s="6" t="s">
        <v>29</v>
      </c>
      <c r="J123" s="6" t="s">
        <v>30</v>
      </c>
      <c r="K123" s="6" t="s">
        <v>31</v>
      </c>
      <c r="L123" s="27" t="s">
        <v>121</v>
      </c>
      <c r="M123" s="28" t="s">
        <v>33</v>
      </c>
      <c r="N123" s="29" t="n">
        <f aca="false">SUM(K124:K130)</f>
        <v>0</v>
      </c>
    </row>
    <row r="124" customFormat="false" ht="12.75" hidden="false" customHeight="false" outlineLevel="0" collapsed="false">
      <c r="A124" s="8"/>
      <c r="B124" s="23"/>
      <c r="C124" s="8"/>
      <c r="D124" s="8"/>
      <c r="E124" s="23"/>
      <c r="F124" s="8"/>
      <c r="G124" s="23"/>
      <c r="H124" s="23"/>
      <c r="I124" s="8"/>
      <c r="J124" s="8"/>
      <c r="K124" s="24"/>
    </row>
    <row r="125" customFormat="false" ht="12.75" hidden="false" customHeight="false" outlineLevel="0" collapsed="false">
      <c r="A125" s="8"/>
      <c r="B125" s="23"/>
      <c r="C125" s="8"/>
      <c r="D125" s="8"/>
      <c r="E125" s="23"/>
      <c r="F125" s="8"/>
      <c r="G125" s="23"/>
      <c r="H125" s="23"/>
      <c r="I125" s="8"/>
      <c r="J125" s="8"/>
      <c r="K125" s="24"/>
    </row>
    <row r="126" customFormat="false" ht="12.75" hidden="false" customHeight="false" outlineLevel="0" collapsed="false">
      <c r="A126" s="8"/>
      <c r="B126" s="23"/>
      <c r="C126" s="8"/>
      <c r="D126" s="8"/>
      <c r="E126" s="23"/>
      <c r="F126" s="8"/>
      <c r="G126" s="23"/>
      <c r="H126" s="23"/>
      <c r="I126" s="8"/>
      <c r="J126" s="8"/>
      <c r="K126" s="24"/>
    </row>
    <row r="127" customFormat="false" ht="12.75" hidden="false" customHeight="false" outlineLevel="0" collapsed="false">
      <c r="A127" s="8"/>
      <c r="B127" s="23"/>
      <c r="C127" s="8"/>
      <c r="D127" s="8"/>
      <c r="E127" s="23"/>
      <c r="F127" s="8"/>
      <c r="G127" s="23"/>
      <c r="H127" s="23"/>
      <c r="I127" s="8"/>
      <c r="J127" s="8"/>
      <c r="K127" s="24"/>
    </row>
    <row r="128" customFormat="false" ht="12.75" hidden="false" customHeight="false" outlineLevel="0" collapsed="false">
      <c r="A128" s="8"/>
      <c r="B128" s="23"/>
      <c r="C128" s="8"/>
      <c r="D128" s="8"/>
      <c r="E128" s="23"/>
      <c r="F128" s="8"/>
      <c r="G128" s="23"/>
      <c r="H128" s="23"/>
      <c r="I128" s="8"/>
      <c r="J128" s="8"/>
      <c r="K128" s="24"/>
    </row>
    <row r="129" customFormat="false" ht="12.75" hidden="false" customHeight="false" outlineLevel="0" collapsed="false">
      <c r="A129" s="8"/>
      <c r="B129" s="23"/>
      <c r="C129" s="8"/>
      <c r="D129" s="8"/>
      <c r="E129" s="23"/>
      <c r="F129" s="8"/>
      <c r="G129" s="23"/>
      <c r="H129" s="23"/>
      <c r="I129" s="8"/>
      <c r="J129" s="8"/>
      <c r="K129" s="24"/>
    </row>
    <row r="130" customFormat="false" ht="12.75" hidden="false" customHeight="false" outlineLevel="0" collapsed="false">
      <c r="A130" s="8"/>
      <c r="B130" s="23"/>
      <c r="C130" s="8"/>
      <c r="D130" s="8"/>
      <c r="E130" s="23"/>
      <c r="F130" s="8"/>
      <c r="G130" s="23"/>
      <c r="H130" s="23"/>
      <c r="I130" s="8"/>
      <c r="J130" s="8"/>
      <c r="K130" s="24"/>
    </row>
    <row r="131" customFormat="false" ht="68.65" hidden="false" customHeight="false" outlineLevel="0" collapsed="false">
      <c r="A131" s="6" t="s">
        <v>21</v>
      </c>
      <c r="B131" s="6" t="s">
        <v>22</v>
      </c>
      <c r="C131" s="6" t="s">
        <v>23</v>
      </c>
      <c r="D131" s="6" t="s">
        <v>24</v>
      </c>
      <c r="E131" s="6" t="s">
        <v>25</v>
      </c>
      <c r="F131" s="6" t="s">
        <v>26</v>
      </c>
      <c r="G131" s="6" t="s">
        <v>27</v>
      </c>
      <c r="H131" s="6" t="s">
        <v>28</v>
      </c>
      <c r="I131" s="6" t="s">
        <v>29</v>
      </c>
      <c r="J131" s="6" t="s">
        <v>30</v>
      </c>
      <c r="K131" s="6" t="s">
        <v>31</v>
      </c>
      <c r="L131" s="27" t="s">
        <v>122</v>
      </c>
      <c r="M131" s="28" t="s">
        <v>33</v>
      </c>
      <c r="N131" s="29" t="n">
        <f aca="false">SUM(K132:K138)</f>
        <v>0</v>
      </c>
    </row>
    <row r="132" customFormat="false" ht="12.75" hidden="false" customHeight="false" outlineLevel="0" collapsed="false">
      <c r="A132" s="8"/>
      <c r="B132" s="23"/>
      <c r="C132" s="8"/>
      <c r="D132" s="8"/>
      <c r="E132" s="23"/>
      <c r="F132" s="8"/>
      <c r="G132" s="23"/>
      <c r="H132" s="23"/>
      <c r="I132" s="8"/>
      <c r="J132" s="8"/>
      <c r="K132" s="24"/>
    </row>
    <row r="133" customFormat="false" ht="12.75" hidden="false" customHeight="false" outlineLevel="0" collapsed="false">
      <c r="A133" s="8"/>
      <c r="B133" s="23"/>
      <c r="C133" s="8"/>
      <c r="D133" s="8"/>
      <c r="E133" s="23"/>
      <c r="F133" s="8"/>
      <c r="G133" s="23"/>
      <c r="H133" s="23"/>
      <c r="I133" s="8"/>
      <c r="J133" s="8"/>
      <c r="K133" s="24"/>
    </row>
    <row r="134" customFormat="false" ht="12.75" hidden="false" customHeight="false" outlineLevel="0" collapsed="false">
      <c r="A134" s="8"/>
      <c r="B134" s="23"/>
      <c r="C134" s="8"/>
      <c r="D134" s="8"/>
      <c r="E134" s="23"/>
      <c r="F134" s="8"/>
      <c r="G134" s="23"/>
      <c r="H134" s="23"/>
      <c r="I134" s="8"/>
      <c r="J134" s="8"/>
      <c r="K134" s="24"/>
    </row>
    <row r="135" customFormat="false" ht="12.75" hidden="false" customHeight="false" outlineLevel="0" collapsed="false">
      <c r="A135" s="8"/>
      <c r="B135" s="23"/>
      <c r="C135" s="8"/>
      <c r="D135" s="8"/>
      <c r="E135" s="23"/>
      <c r="F135" s="8"/>
      <c r="G135" s="23"/>
      <c r="H135" s="23"/>
      <c r="I135" s="8"/>
      <c r="J135" s="8"/>
      <c r="K135" s="24"/>
    </row>
    <row r="136" customFormat="false" ht="12.75" hidden="false" customHeight="false" outlineLevel="0" collapsed="false">
      <c r="A136" s="8"/>
      <c r="B136" s="23"/>
      <c r="C136" s="8"/>
      <c r="D136" s="8"/>
      <c r="E136" s="23"/>
      <c r="F136" s="8"/>
      <c r="G136" s="23"/>
      <c r="H136" s="23"/>
      <c r="I136" s="8"/>
      <c r="J136" s="8"/>
      <c r="K136" s="24"/>
    </row>
    <row r="137" customFormat="false" ht="12.75" hidden="false" customHeight="false" outlineLevel="0" collapsed="false">
      <c r="A137" s="8"/>
      <c r="B137" s="23"/>
      <c r="C137" s="8"/>
      <c r="D137" s="8"/>
      <c r="E137" s="23"/>
      <c r="F137" s="8"/>
      <c r="G137" s="23"/>
      <c r="H137" s="23"/>
      <c r="I137" s="8"/>
      <c r="J137" s="8"/>
      <c r="K137" s="24"/>
    </row>
    <row r="138" customFormat="false" ht="12.75" hidden="false" customHeight="false" outlineLevel="0" collapsed="false">
      <c r="A138" s="8"/>
      <c r="B138" s="23"/>
      <c r="C138" s="8"/>
      <c r="D138" s="8"/>
      <c r="E138" s="23"/>
      <c r="F138" s="8"/>
      <c r="G138" s="23"/>
      <c r="H138" s="23"/>
      <c r="I138" s="8"/>
      <c r="J138" s="8"/>
      <c r="K138" s="24"/>
    </row>
    <row r="139" customFormat="false" ht="68.65" hidden="false" customHeight="false" outlineLevel="0" collapsed="false">
      <c r="A139" s="6" t="s">
        <v>21</v>
      </c>
      <c r="B139" s="6" t="s">
        <v>22</v>
      </c>
      <c r="C139" s="6" t="s">
        <v>23</v>
      </c>
      <c r="D139" s="6" t="s">
        <v>24</v>
      </c>
      <c r="E139" s="6" t="s">
        <v>25</v>
      </c>
      <c r="F139" s="6" t="s">
        <v>26</v>
      </c>
      <c r="G139" s="6" t="s">
        <v>27</v>
      </c>
      <c r="H139" s="6" t="s">
        <v>28</v>
      </c>
      <c r="I139" s="6" t="s">
        <v>29</v>
      </c>
      <c r="J139" s="6" t="s">
        <v>30</v>
      </c>
      <c r="K139" s="6" t="s">
        <v>31</v>
      </c>
      <c r="L139" s="27" t="s">
        <v>123</v>
      </c>
      <c r="M139" s="28" t="s">
        <v>33</v>
      </c>
      <c r="N139" s="29" t="n">
        <f aca="false">SUM(K140:K146)</f>
        <v>0</v>
      </c>
    </row>
    <row r="140" customFormat="false" ht="12.75" hidden="false" customHeight="false" outlineLevel="0" collapsed="false">
      <c r="A140" s="8"/>
      <c r="B140" s="23"/>
      <c r="C140" s="8"/>
      <c r="D140" s="8"/>
      <c r="E140" s="23"/>
      <c r="F140" s="8"/>
      <c r="G140" s="23"/>
      <c r="H140" s="23"/>
      <c r="I140" s="8"/>
      <c r="J140" s="8"/>
      <c r="K140" s="24"/>
    </row>
    <row r="141" customFormat="false" ht="12.75" hidden="false" customHeight="false" outlineLevel="0" collapsed="false">
      <c r="A141" s="13"/>
      <c r="B141" s="23"/>
      <c r="C141" s="13"/>
      <c r="D141" s="13"/>
      <c r="E141" s="23"/>
      <c r="F141" s="13"/>
      <c r="G141" s="23"/>
      <c r="H141" s="23"/>
      <c r="I141" s="13"/>
      <c r="J141" s="13"/>
      <c r="K141" s="24"/>
    </row>
    <row r="142" customFormat="false" ht="12.75" hidden="false" customHeight="false" outlineLevel="0" collapsed="false">
      <c r="A142" s="13"/>
      <c r="B142" s="23"/>
      <c r="C142" s="13"/>
      <c r="D142" s="13"/>
      <c r="E142" s="23"/>
      <c r="F142" s="13"/>
      <c r="G142" s="23"/>
      <c r="H142" s="23"/>
      <c r="I142" s="13"/>
      <c r="J142" s="13"/>
      <c r="K142" s="24"/>
    </row>
    <row r="143" customFormat="false" ht="12.75" hidden="false" customHeight="false" outlineLevel="0" collapsed="false">
      <c r="A143" s="13"/>
      <c r="B143" s="23"/>
      <c r="C143" s="13"/>
      <c r="D143" s="13"/>
      <c r="E143" s="23"/>
      <c r="F143" s="13"/>
      <c r="G143" s="23"/>
      <c r="H143" s="23"/>
      <c r="I143" s="13"/>
      <c r="J143" s="13"/>
      <c r="K143" s="24"/>
    </row>
    <row r="144" customFormat="false" ht="12.75" hidden="false" customHeight="false" outlineLevel="0" collapsed="false">
      <c r="A144" s="13"/>
      <c r="B144" s="23"/>
      <c r="C144" s="13"/>
      <c r="D144" s="13"/>
      <c r="E144" s="23"/>
      <c r="F144" s="13"/>
      <c r="G144" s="23"/>
      <c r="H144" s="23"/>
      <c r="I144" s="13"/>
      <c r="J144" s="13"/>
      <c r="K144" s="24"/>
    </row>
    <row r="145" customFormat="false" ht="12.75" hidden="false" customHeight="false" outlineLevel="0" collapsed="false">
      <c r="A145" s="13"/>
      <c r="B145" s="23"/>
      <c r="C145" s="13"/>
      <c r="D145" s="13"/>
      <c r="E145" s="23"/>
      <c r="F145" s="13"/>
      <c r="G145" s="23"/>
      <c r="H145" s="23"/>
      <c r="I145" s="13"/>
      <c r="J145" s="13"/>
      <c r="K145" s="24"/>
    </row>
    <row r="146" customFormat="false" ht="12.75" hidden="false" customHeight="false" outlineLevel="0" collapsed="false">
      <c r="A146" s="18"/>
      <c r="B146" s="18"/>
      <c r="C146" s="18"/>
      <c r="D146" s="18"/>
      <c r="E146" s="18"/>
      <c r="F146" s="18"/>
      <c r="G146" s="18"/>
      <c r="H146" s="18"/>
      <c r="I146" s="18"/>
      <c r="J146" s="18"/>
      <c r="K146" s="18"/>
    </row>
    <row r="149" customFormat="false" ht="35.8" hidden="false" customHeight="false" outlineLevel="0" collapsed="false">
      <c r="L149" s="27" t="s">
        <v>124</v>
      </c>
      <c r="M149" s="28" t="s">
        <v>33</v>
      </c>
      <c r="N149" s="29" t="n">
        <f aca="false">SUM(N1:N147)</f>
        <v>25</v>
      </c>
    </row>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3">
    <mergeCell ref="A1:K1"/>
    <mergeCell ref="A3:K3"/>
    <mergeCell ref="B4:H4"/>
    <mergeCell ref="B5:H5"/>
    <mergeCell ref="B6:H6"/>
    <mergeCell ref="B7:H7"/>
    <mergeCell ref="B8:H8"/>
    <mergeCell ref="B9:H9"/>
    <mergeCell ref="B10:H10"/>
    <mergeCell ref="B11:H11"/>
    <mergeCell ref="B12:H12"/>
    <mergeCell ref="I13:J13"/>
    <mergeCell ref="A16:K16"/>
    <mergeCell ref="B17:J17"/>
    <mergeCell ref="B18:H18"/>
    <mergeCell ref="B19:J19"/>
    <mergeCell ref="B20:J20"/>
    <mergeCell ref="B21:J21"/>
    <mergeCell ref="B22:J22"/>
    <mergeCell ref="B23:J23"/>
    <mergeCell ref="B24:J24"/>
    <mergeCell ref="B25:J25"/>
    <mergeCell ref="B26:J26"/>
  </mergeCells>
  <printOptions headings="false" gridLines="false" gridLinesSet="true" horizontalCentered="false" verticalCentered="false"/>
  <pageMargins left="0.390277777777778" right="0.390277777777778" top="0.73125" bottom="0.590277777777778"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&amp;L&amp;8Sheet: &amp;A
File: &amp;F&amp;C&amp;8Version: 
Date: &amp;R&amp;8&amp;P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3203125" defaultRowHeight="12.75" customHeight="false" zeroHeight="false" outlineLevelRow="0" outlineLevelCol="0"/>
  <cols>
    <col collapsed="false" customWidth="true" hidden="false" outlineLevel="0" max="1" min="1" style="1" width="21.33"/>
    <col collapsed="false" customWidth="true" hidden="false" outlineLevel="0" max="2" min="2" style="1" width="28.67"/>
    <col collapsed="false" customWidth="true" hidden="false" outlineLevel="0" max="3" min="3" style="1" width="7.16"/>
    <col collapsed="false" customWidth="true" hidden="false" outlineLevel="0" max="4" min="4" style="1" width="69.5"/>
  </cols>
  <sheetData/>
  <printOptions headings="false" gridLines="false" gridLinesSet="true" horizontalCentered="false" verticalCentered="false"/>
  <pageMargins left="0.390277777777778" right="0.390277777777778" top="0.73125" bottom="0.590277777777778"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&amp;L&amp;8Sheet: &amp;A
File: &amp;F&amp;C&amp;8Version: 
Date: &amp;R&amp;8&amp;P of &amp;N</oddFooter>
  </headerFooter>
</worksheet>
</file>

<file path=docProps/app.xml><?xml version="1.0" encoding="utf-8"?>
<Properties xmlns="http://schemas.openxmlformats.org/officeDocument/2006/extended-properties" xmlns:vt="http://schemas.openxmlformats.org/officeDocument/2006/docPropsVTypes">
  <Template/>
  <TotalTime>1492</TotalTime>
  <Application>LibreOffice/26.2.2.2$Linux_X86_64 LibreOffice_project/620$Build-2</Application>
  <AppVersion>15.0000</AppVersion>
  <Company>WorldSkills International Secretariat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2010-04-27T04:25:00Z</dcterms:created>
  <dc:creator>Adam Walsh</dc:creator>
  <dc:description/>
  <dc:language>en-US</dc:language>
  <cp:lastModifiedBy/>
  <cp:lastPrinted>2010-04-28T04:08:36Z</cp:lastPrinted>
  <dcterms:modified xsi:type="dcterms:W3CDTF">2026-04-18T19:19:43Z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