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c54f1565a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S Marking Scheme Import" sheetId="1" r:id="R0a7abbf6b7df4527"/>
    <x:sheet xmlns:r="http://schemas.openxmlformats.org/officeDocument/2006/relationships" name="Calculations" sheetId="2" r:id="R36a73e71bcb7406d"/>
  </x:sheets>
</x:workbook>
</file>

<file path=xl/sharedStrings.xml><?xml version="1.0" encoding="utf-8"?>
<x:sst xmlns:x="http://schemas.openxmlformats.org/spreadsheetml/2006/main">
  <x:si>
    <x:t xml:space="preserve">A</x:t>
  </x:si>
  <x:si>
    <x:t xml:space="preserve">B</x:t>
  </x:si>
  <x:si>
    <x:t xml:space="preserve">C</x:t>
  </x:si>
  <x:si>
    <x:t xml:space="preserve">D</x:t>
  </x:si>
  <x:si>
    <x:t xml:space="preserve">E</x:t>
  </x:si>
  <x:si>
    <x:t xml:space="preserve">F</x:t>
  </x:si>
  <x:si>
    <x:t xml:space="preserve">G</x:t>
  </x:si>
  <x:si>
    <x:t xml:space="preserve">H</x:t>
  </x:si>
  <x:si>
    <x:t xml:space="preserve">I</x:t>
  </x:si>
  <x:si>
    <x:t xml:space="preserve">A1</x:t>
  </x:si>
  <x:si>
    <x:t xml:space="preserve">M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</x:si>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</x:sst>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0"/>
    <x:numFmt numFmtId="166" formatCode="@"/>
  </x:numFmts>
  <x:fonts count="10">
    <x:font>
      <x:sz val="10"/>
      <x:color theme="1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8"/>
      <x:color rgb="FFFFFFFF"/>
      <x:name val="Arial"/>
    </x:font>
    <x:font>
      <x:sz val="10"/>
      <x:name val="Arial"/>
    </x:font>
    <x:font>
      <x:sz val="16"/>
      <x:color rgb="FFFFFFFF"/>
      <x:name val="Arial"/>
    </x:font>
    <x:font>
      <x:sz val="10"/>
      <x:color rgb="FFFFFFFF"/>
      <x:name val="Arial"/>
    </x:font>
    <x:font>
      <x:sz val="16"/>
      <x:name val="Arial"/>
    </x:font>
    <x:font>
      <x:sz val="16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969696"/>
      </x:patternFill>
    </x:fill>
  </x:fills>
  <x:borders count="10">
    <x:border diagonalUp="0" diagonalDown="0"/>
    <x:border diagonalUp="0" diagonalDown="0">
      <x:left style="medium"/>
      <x:right style="medium"/>
      <x:top style="medium"/>
      <x:bottom style="medium"/>
    </x:border>
    <x:border diagonalUp="0" diagonalDown="0">
      <x:left style="medium"/>
      <x:right style="medium"/>
      <x:bottom style="medium"/>
    </x:border>
    <x:border diagonalUp="0" diagonalDown="0">
      <x:left style="medium"/>
      <x:right style="medium"/>
    </x:border>
    <x:border diagonalUp="0" diagonalDown="0">
      <x:right style="medium"/>
    </x:border>
    <x:border diagonalUp="0" diagonalDown="0">
      <x:left style="medium"/>
      <x:top style="medium"/>
    </x:border>
    <x:border diagonalUp="0" diagonalDown="0">
      <x:left style="medium"/>
      <x:right style="medium"/>
      <x:top style="medium"/>
    </x:border>
    <x:border diagonalUp="0" diagonalDown="0">
      <x:left style="medium"/>
    </x:border>
    <x:border diagonalUp="0" diagonalDown="0">
      <x:right style="medium"/>
      <x:bottom style="medium"/>
    </x:border>
    <x:border diagonalUp="0" diagonalDown="0">
      <x:left style="medium"/>
      <x:bottom style="medium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3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1" xfId="0" applyFont="1" applyBorder="1" applyAlignment="1">
      <x:alignment horizontal="center" vertical="center" wrapText="1"/>
    </x:xf>
    <x:xf numFmtId="164" fontId="5" fillId="0" borderId="0" xfId="0" applyFont="1" applyBorder="0" applyAlignment="1">
      <x:alignment horizontal="center" vertical="center" wrapText="0"/>
    </x:xf>
    <x:xf numFmtId="164" fontId="6" fillId="2" borderId="1" xfId="0" applyFont="1" applyBorder="1" applyAlignment="1">
      <x:alignment horizontal="center" vertical="center" wrapText="1"/>
    </x:xf>
    <x:xf numFmtId="164" fontId="7" fillId="2" borderId="2" xfId="0" applyFont="1" applyBorder="1" applyAlignment="1">
      <x:alignment horizontal="center" vertical="center" wrapText="1"/>
    </x:xf>
    <x:xf numFmtId="164" fontId="7" fillId="2" borderId="1" xfId="0" applyFont="1" applyBorder="1" applyAlignment="1">
      <x:alignment horizontal="center" vertical="center" wrapText="1"/>
    </x:xf>
    <x:xf numFmtId="164" fontId="7" fillId="2" borderId="3" xfId="0" applyFont="1" applyBorder="1" applyAlignment="1">
      <x:alignment horizontal="center" vertical="center" wrapText="1"/>
    </x:xf>
    <x:xf numFmtId="164" fontId="5" fillId="0" borderId="3" xfId="0" applyFont="1" applyBorder="1" applyAlignment="1">
      <x:alignment horizontal="center" vertical="center" wrapText="0"/>
    </x:xf>
    <x:xf numFmtId="164" fontId="5" fillId="0" borderId="4" xfId="0" applyFont="1" applyBorder="1" applyAlignment="1">
      <x:alignment horizontal="left" vertical="center" wrapText="1"/>
    </x:xf>
    <x:xf numFmtId="165" fontId="5" fillId="0" borderId="0" xfId="0" applyFont="1" applyBorder="1" applyAlignment="1">
      <x:alignment horizontal="center" vertical="center" wrapText="0"/>
    </x:xf>
    <x:xf numFmtId="165" fontId="5" fillId="0" borderId="5" xfId="0" applyFont="1" applyBorder="1" applyAlignment="1">
      <x:alignment horizontal="center" vertical="center" wrapText="0"/>
    </x:xf>
    <x:xf numFmtId="165" fontId="5" fillId="0" borderId="6" xfId="0" applyFont="1" applyBorder="1" applyAlignment="1">
      <x:alignment horizontal="center" vertical="center" wrapText="0"/>
    </x:xf>
    <x:xf numFmtId="164" fontId="5" fillId="0" borderId="4" xfId="0" applyFont="1" applyBorder="1" applyAlignment="1">
      <x:alignment horizontal="center" vertical="center" wrapText="0"/>
    </x:xf>
    <x:xf numFmtId="164" fontId="5" fillId="0" borderId="3" xfId="0" applyFont="1" applyBorder="1" applyAlignment="1">
      <x:alignment horizontal="left" vertical="center" wrapText="0"/>
    </x:xf>
    <x:xf numFmtId="165" fontId="5" fillId="0" borderId="7" xfId="0" applyFont="1" applyBorder="1" applyAlignment="1">
      <x:alignment horizontal="center" vertical="center" wrapText="0"/>
    </x:xf>
    <x:xf numFmtId="165" fontId="5" fillId="0" borderId="3" xfId="0" applyFont="1" applyBorder="1" applyAlignment="1">
      <x:alignment horizontal="center" vertical="center" wrapText="0"/>
    </x:xf>
    <x:xf numFmtId="164" fontId="5" fillId="0" borderId="2" xfId="0" applyFont="1" applyBorder="1" applyAlignment="1">
      <x:alignment horizontal="center" vertical="center" wrapText="0"/>
    </x:xf>
    <x:xf numFmtId="164" fontId="5" fillId="0" borderId="8" xfId="0" applyFont="1" applyBorder="1" applyAlignment="1">
      <x:alignment horizontal="left" vertical="center" wrapText="0"/>
    </x:xf>
    <x:xf numFmtId="165" fontId="5" fillId="0" borderId="9" xfId="0" applyFont="1" applyBorder="1" applyAlignment="1">
      <x:alignment horizontal="center" vertical="center" wrapText="0"/>
    </x:xf>
    <x:xf numFmtId="165" fontId="5" fillId="0" borderId="2" xfId="0" applyFont="1" applyBorder="1" applyAlignment="1">
      <x:alignment horizontal="center" vertical="center" wrapText="0"/>
    </x:xf>
    <x:xf numFmtId="164" fontId="0" fillId="0" borderId="1" xfId="0" applyFont="1" applyBorder="1" applyAlignment="1">
      <x:alignment horizontal="center" vertical="center" wrapText="0"/>
    </x:xf>
    <x:xf numFmtId="164" fontId="0" fillId="0" borderId="0" xfId="0" applyFont="0" applyBorder="0" applyAlignment="1">
      <x:alignment horizontal="center" vertical="center" wrapText="0"/>
    </x:xf>
    <x:xf numFmtId="164" fontId="5" fillId="0" borderId="4" xfId="0" applyFont="1" applyBorder="1" applyAlignment="1">
      <x:alignment horizontal="left" vertical="center" wrapText="0"/>
    </x:xf>
    <x:xf numFmtId="165" fontId="5" fillId="0" borderId="4" xfId="0" applyFont="1" applyBorder="1" applyAlignment="1">
      <x:alignment horizontal="center" vertical="center" wrapText="0"/>
    </x:xf>
    <x:xf numFmtId="164" fontId="7" fillId="0" borderId="0" xfId="0" applyFont="1" applyBorder="0" applyAlignment="1">
      <x:alignment horizontal="center" vertical="center" wrapText="0"/>
    </x:xf>
    <x:xf numFmtId="165" fontId="0" fillId="0" borderId="0" xfId="0" applyFont="0" applyBorder="0" applyAlignment="1">
      <x:alignment horizontal="general" vertical="bottom" wrapText="0"/>
    </x:xf>
    <x:xf numFmtId="164" fontId="8" fillId="0" borderId="0" xfId="0" applyFont="1" applyBorder="0" applyAlignment="1">
      <x:alignment horizontal="center" vertical="center" wrapText="1"/>
    </x:xf>
    <x:xf numFmtId="164" fontId="9" fillId="0" borderId="0" xfId="0" applyFont="1" applyBorder="0" applyAlignment="1">
      <x:alignment horizontal="center" vertical="center" wrapText="1"/>
    </x:xf>
    <x:xf numFmtId="165" fontId="8" fillId="0" borderId="0" xfId="0" applyFont="1" applyBorder="0" applyAlignment="1">
      <x:alignment horizontal="center" vertical="center" wrapText="0"/>
    </x:xf>
    <x:xf numFmtId="164" fontId="5" fillId="0" borderId="3" xfId="0" applyFont="1" applyBorder="1" applyAlignment="1">
      <x:alignment horizontal="center" vertical="center" wrapText="1"/>
    </x:xf>
    <x:xf numFmtId="166" fontId="0" fillId="0" borderId="0" xfId="0" applyFont="1" applyBorder="0" applyAlignment="1">
      <x:alignment horizontal="left" vertical="bottom" wrapText="1"/>
    </x:xf>
    <x:xf numFmtId="164" fontId="0" fillId="0" borderId="0" xfId="0" applyFont="1" applyBorder="0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9f93fb5154834" /><Relationship Type="http://schemas.openxmlformats.org/officeDocument/2006/relationships/theme" Target="/xl/theme/theme1.xml" Id="R8bf15c6996774e6b" /><Relationship Type="http://schemas.openxmlformats.org/officeDocument/2006/relationships/sharedStrings" Target="/xl/sharedStrings.xml" Id="R25da2bc61bd44cdc" /><Relationship Type="http://schemas.openxmlformats.org/officeDocument/2006/relationships/worksheet" Target="/xl/worksheets/sheet1.xml" Id="R0a7abbf6b7df4527" /><Relationship Type="http://schemas.openxmlformats.org/officeDocument/2006/relationships/worksheet" Target="/xl/worksheets/sheet2.xml" Id="R36a73e71bcb7406d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3203125" defaultRowHeight="12.75"/>
  <x:cols>
    <x:col min="1" max="1" width="7.670000076293945" style="1" hidden="0" customWidth="1"/>
    <x:col min="2" max="2" width="39" style="1" hidden="0" customWidth="1"/>
    <x:col min="3" max="3" width="7.829999923706055" style="1" hidden="0" customWidth="1"/>
    <x:col min="4" max="4" width="6.199999809265137" style="1" hidden="0" customWidth="1"/>
    <x:col min="5" max="5" width="52.15999984741211" style="1" hidden="0" customWidth="1"/>
    <x:col min="6" max="6" width="8" style="1" hidden="0" customWidth="1"/>
    <x:col min="7" max="7" width="46.66999816894531" style="1" hidden="0" customWidth="1"/>
    <x:col min="8" max="8" width="15.510000228881836" style="1" hidden="0" customWidth="1"/>
    <x:col min="9" max="9" width="11.329999923706055" style="1" hidden="0" customWidth="1"/>
    <x:col min="10" max="10" width="11" style="1" hidden="0" customWidth="1"/>
    <x:col min="11" max="11" width="10.65999984741211" style="1" hidden="0" customWidth="1"/>
    <x:col min="12" max="12" width="18.5" style="1" hidden="0" customWidth="1"/>
    <x:col min="14" max="14" width="11.529999732971191" style="1" hidden="0" customWidth="1"/>
  </x:cols>
  <x:sheetData>
    <x:row r="1" ht="48.75" hidden="0" customHeight="1">
      <x:c r="A1" s="2" t="str">
        <x:v>技能名稱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6" hidden="0" customHeight="1">
      <x:c r="C2" s="3"/>
      <x:c r="E2" s="3"/>
      <x:c r="J2" s="3"/>
    </x:row>
    <x:row r="3" ht="34.5" hidden="0" customHeight="1">
      <x:c r="A3" s="4" t="str">
        <x:v>世界技能職業標準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34.5" hidden="0" customHeight="1">
      <x:c r="A4" s="5" t="str">
        <x:v>章節</x:v>
      </x:c>
      <x:c r="B4" s="6" t="str">
        <x:v>WSOS 分數</x:v>
      </x:c>
      <x:c r="C4" s="6"/>
      <x:c r="D4" s="6"/>
      <x:c r="E4" s="6"/>
      <x:c r="F4" s="6"/>
      <x:c r="G4" s="6"/>
      <x:c r="H4" s="6"/>
      <x:c r="I4" s="5" t="str">
        <x:v>WSOS 分數</x:v>
      </x:c>
      <x:c r="J4" s="7" t="str">
        <x:v>評分項目分數</x:v>
      </x:c>
      <x:c r="K4" s="7" t="str">
        <x:v>配分</x:v>
      </x:c>
    </x:row>
    <x:row r="5" ht="24.75" hidden="0" customHeight="1">
      <x:c r="A5" s="8"/>
      <x:c r="B5" s="9"/>
      <x:c r="C5" s="9"/>
      <x:c r="D5" s="9"/>
      <x:c r="E5" s="9"/>
      <x:c r="F5" s="9"/>
      <x:c r="G5" s="9"/>
      <x:c r="H5" s="9"/>
      <x:c r="I5" s="10"/>
      <x:c r="J5" s="11" t="n">
        <x:f aca="0">SUMIF(I30:I148,A5,K30:K148)</x:f>
        <x:v>25.000000000000004</x:v>
      </x:c>
      <x:c r="K5" s="12" t="n">
        <x:f aca="0">ABS(I5-J5)</x:f>
        <x:v>25.000000000000004</x:v>
      </x:c>
    </x:row>
    <x:row r="6" ht="24.75" hidden="0" customHeight="1">
      <x:c r="A6" s="13"/>
      <x:c r="B6" s="14"/>
      <x:c r="C6" s="14"/>
      <x:c r="D6" s="14"/>
      <x:c r="E6" s="14"/>
      <x:c r="F6" s="14"/>
      <x:c r="G6" s="14"/>
      <x:c r="H6" s="14"/>
      <x:c r="I6" s="10"/>
      <x:c r="J6" s="15" t="n">
        <x:f aca="0">SUMIF(I30:I148,A6,K30:K148)</x:f>
        <x:v>25.000000000000004</x:v>
      </x:c>
      <x:c r="K6" s="16" t="n">
        <x:f aca="0">ABS(I6-J6)</x:f>
        <x:v>25.000000000000004</x:v>
      </x:c>
    </x:row>
    <x:row r="7" ht="24.75" hidden="0" customHeight="1">
      <x:c r="A7" s="13"/>
      <x:c r="B7" s="14"/>
      <x:c r="C7" s="14"/>
      <x:c r="D7" s="14"/>
      <x:c r="E7" s="14"/>
      <x:c r="F7" s="14"/>
      <x:c r="G7" s="14"/>
      <x:c r="H7" s="14"/>
      <x:c r="I7" s="10"/>
      <x:c r="J7" s="15" t="n">
        <x:f aca="0">SUMIF(I30:I148,A7,K30:K148)</x:f>
        <x:v>25.000000000000004</x:v>
      </x:c>
      <x:c r="K7" s="16" t="n">
        <x:f aca="0">ABS(I7-J7)</x:f>
        <x:v>25.000000000000004</x:v>
      </x:c>
    </x:row>
    <x:row r="8" ht="24.75" hidden="0" customHeight="1">
      <x:c r="A8" s="13"/>
      <x:c r="B8" s="14"/>
      <x:c r="C8" s="14"/>
      <x:c r="D8" s="14"/>
      <x:c r="E8" s="14"/>
      <x:c r="F8" s="14"/>
      <x:c r="G8" s="14"/>
      <x:c r="H8" s="14"/>
      <x:c r="I8" s="10"/>
      <x:c r="J8" s="15" t="n">
        <x:f aca="0">SUMIF(I30:I148,A8,K30:K148)</x:f>
        <x:v>25.000000000000004</x:v>
      </x:c>
      <x:c r="K8" s="16" t="n">
        <x:f aca="0">ABS(I8-J8)</x:f>
        <x:v>25.000000000000004</x:v>
      </x:c>
    </x:row>
    <x:row r="9" ht="24.75" hidden="0" customHeight="1">
      <x:c r="A9" s="13"/>
      <x:c r="B9" s="14"/>
      <x:c r="C9" s="14"/>
      <x:c r="D9" s="14"/>
      <x:c r="E9" s="14"/>
      <x:c r="F9" s="14"/>
      <x:c r="G9" s="14"/>
      <x:c r="H9" s="14"/>
      <x:c r="I9" s="10"/>
      <x:c r="J9" s="15" t="n">
        <x:f aca="0">SUMIF(I30:I148,A9,K30:K148)</x:f>
        <x:v>25.000000000000004</x:v>
      </x:c>
      <x:c r="K9" s="16" t="n">
        <x:f aca="0">ABS(I9-J9)</x:f>
        <x:v>25.000000000000004</x:v>
      </x:c>
    </x:row>
    <x:row r="10" ht="24.75" hidden="0" customHeight="1">
      <x:c r="A10" s="13"/>
      <x:c r="B10" s="14"/>
      <x:c r="C10" s="14"/>
      <x:c r="D10" s="14"/>
      <x:c r="E10" s="14"/>
      <x:c r="F10" s="14"/>
      <x:c r="G10" s="14"/>
      <x:c r="H10" s="14"/>
      <x:c r="I10" s="10"/>
      <x:c r="J10" s="15" t="n">
        <x:f aca="0">SUMIF(I30:I148,A10,K30:K148)</x:f>
        <x:v>25.000000000000004</x:v>
      </x:c>
      <x:c r="K10" s="16" t="n">
        <x:f aca="0">ABS(I10-J10)</x:f>
        <x:v>25.000000000000004</x:v>
      </x:c>
    </x:row>
    <x:row r="11" ht="24.75" hidden="0" customHeight="1">
      <x:c r="A11" s="13"/>
      <x:c r="B11" s="14"/>
      <x:c r="C11" s="14"/>
      <x:c r="D11" s="14"/>
      <x:c r="E11" s="14"/>
      <x:c r="F11" s="14"/>
      <x:c r="G11" s="14"/>
      <x:c r="H11" s="14"/>
      <x:c r="I11" s="10"/>
      <x:c r="J11" s="15" t="n">
        <x:f aca="0">SUMIF(I30:I148,A11,K30:K148)</x:f>
        <x:v>25.000000000000004</x:v>
      </x:c>
      <x:c r="K11" s="16" t="n">
        <x:f aca="0">ABS(I11-J11)</x:f>
        <x:v>25.000000000000004</x:v>
      </x:c>
    </x:row>
    <x:row r="12" ht="24.75" hidden="0" customHeight="1">
      <x:c r="A12" s="17"/>
      <x:c r="B12" s="18"/>
      <x:c r="C12" s="18"/>
      <x:c r="D12" s="18"/>
      <x:c r="E12" s="18"/>
      <x:c r="F12" s="18"/>
      <x:c r="G12" s="18"/>
      <x:c r="H12" s="18"/>
      <x:c r="I12" s="19"/>
      <x:c r="J12" s="19" t="n">
        <x:f aca="0">SUMIF(I30:I148,A12,K30:K148)</x:f>
        <x:v>25.000000000000004</x:v>
      </x:c>
      <x:c r="K12" s="20" t="n">
        <x:f aca="0">ABS(I12-J12)</x:f>
        <x:v>25.000000000000004</x:v>
      </x:c>
    </x:row>
    <x:row r="13" ht="24.75" hidden="0" customHeight="1">
      <x:c r="C13" s="3"/>
      <x:c r="E13" s="3"/>
      <x:c r="I13" s="21" t="str">
        <x:v>總配分</x:v>
      </x:c>
      <x:c r="J13" s="21"/>
      <x:c r="K13" s="20" t="n">
        <x:f aca="0">SUM(K5:K12)</x:f>
        <x:v>200.00000000000003</x:v>
      </x:c>
    </x:row>
    <x:row r="14" ht="19.5" hidden="0" customHeight="1">
      <x:c r="C14" s="3"/>
      <x:c r="E14" s="3"/>
      <x:c r="I14" s="22"/>
      <x:c r="J14" s="22"/>
    </x:row>
    <x:row r="15" ht="19.5" hidden="0" customHeight="1">
      <x:c r="C15" s="3"/>
      <x:c r="E15" s="3"/>
      <x:c r="I15" s="22"/>
      <x:c r="J15" s="3"/>
    </x:row>
    <x:row r="16" ht="34.5" hidden="0" customHeight="1">
      <x:c r="A16" s="4" t="str">
        <x:v>評分準則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  <x:row r="17" ht="34.5" hidden="0" customHeight="1">
      <x:c r="A17" s="5" t="str">
        <x:v>編號</x:v>
      </x:c>
      <x:c r="B17" s="6" t="str">
        <x:v>名稱</x:v>
      </x:c>
      <x:c r="C17" s="6"/>
      <x:c r="D17" s="6"/>
      <x:c r="E17" s="6"/>
      <x:c r="F17" s="6"/>
      <x:c r="G17" s="6"/>
      <x:c r="H17" s="6"/>
      <x:c r="I17" s="6"/>
      <x:c r="J17" s="6"/>
      <x:c r="K17" s="5" t="str">
        <x:v>分數</x:v>
      </x:c>
    </x:row>
    <x:row r="18" ht="24.75" hidden="0" customHeight="1">
      <x:c r="A18" s="8" t="s">
        <x:v>0</x:v>
      </x:c>
      <x:c r="B18" s="14" t="str">
        <x:v>德國功能模組：TaskWeave</x:v>
      </x:c>
      <x:c r="C18" s="14"/>
      <x:c r="D18" s="14"/>
      <x:c r="E18" s="14"/>
      <x:c r="F18" s="14"/>
      <x:c r="G18" s="14"/>
      <x:c r="H18" s="14"/>
      <x:c r="I18" s="23"/>
      <x:c r="J18" s="23"/>
      <x:c r="K18" s="24" t="n">
        <x:f aca="0">N29</x:f>
        <x:v>25.000000000000004</x:v>
      </x:c>
    </x:row>
    <x:row r="19" ht="24.75" hidden="0" customHeight="1">
      <x:c r="A19" s="8" t="s">
        <x:v>1</x:v>
      </x:c>
      <x:c r="B19" s="23"/>
      <x:c r="C19" s="23"/>
      <x:c r="D19" s="23"/>
      <x:c r="E19" s="23"/>
      <x:c r="F19" s="23"/>
      <x:c r="G19" s="23"/>
      <x:c r="H19" s="23"/>
      <x:c r="I19" s="23"/>
      <x:c r="J19" s="23"/>
      <x:c r="K19" s="24"/>
    </x:row>
    <x:row r="20" ht="24.75" hidden="0" customHeight="1">
      <x:c r="A20" s="8" t="s">
        <x:v>2</x:v>
      </x:c>
      <x:c r="B20" s="23"/>
      <x:c r="C20" s="23"/>
      <x:c r="D20" s="23"/>
      <x:c r="E20" s="23"/>
      <x:c r="F20" s="23"/>
      <x:c r="G20" s="23"/>
      <x:c r="H20" s="23"/>
      <x:c r="I20" s="23"/>
      <x:c r="J20" s="23"/>
      <x:c r="K20" s="24"/>
    </x:row>
    <x:row r="21" ht="24.75" hidden="0" customHeight="1">
      <x:c r="A21" s="8" t="s">
        <x:v>3</x:v>
      </x:c>
      <x:c r="B21" s="23"/>
      <x:c r="C21" s="23"/>
      <x:c r="D21" s="23"/>
      <x:c r="E21" s="23"/>
      <x:c r="F21" s="23"/>
      <x:c r="G21" s="23"/>
      <x:c r="H21" s="23"/>
      <x:c r="I21" s="23"/>
      <x:c r="J21" s="23"/>
      <x:c r="K21" s="24"/>
    </x:row>
    <x:row r="22" ht="24.75" hidden="0" customHeight="1">
      <x:c r="A22" s="8" t="s">
        <x:v>4</x:v>
      </x:c>
      <x:c r="B22" s="23"/>
      <x:c r="C22" s="23"/>
      <x:c r="D22" s="23"/>
      <x:c r="E22" s="23"/>
      <x:c r="F22" s="23"/>
      <x:c r="G22" s="23"/>
      <x:c r="H22" s="23"/>
      <x:c r="I22" s="23"/>
      <x:c r="J22" s="23"/>
      <x:c r="K22" s="24"/>
    </x:row>
    <x:row r="23" ht="24.75" hidden="0" customHeight="1">
      <x:c r="A23" s="8" t="s">
        <x:v>5</x:v>
      </x:c>
      <x:c r="B23" s="23"/>
      <x:c r="C23" s="23"/>
      <x:c r="D23" s="23"/>
      <x:c r="E23" s="23"/>
      <x:c r="F23" s="23"/>
      <x:c r="G23" s="23"/>
      <x:c r="H23" s="23"/>
      <x:c r="I23" s="23"/>
      <x:c r="J23" s="23"/>
      <x:c r="K23" s="24"/>
    </x:row>
    <x:row r="24" ht="24.75" hidden="0" customHeight="1">
      <x:c r="A24" s="8" t="s">
        <x:v>6</x:v>
      </x:c>
      <x:c r="B24" s="23"/>
      <x:c r="C24" s="23"/>
      <x:c r="D24" s="23"/>
      <x:c r="E24" s="23"/>
      <x:c r="F24" s="23"/>
      <x:c r="G24" s="23"/>
      <x:c r="H24" s="23"/>
      <x:c r="I24" s="23"/>
      <x:c r="J24" s="23"/>
      <x:c r="K24" s="24"/>
    </x:row>
    <x:row r="25" ht="24.75" hidden="0" customHeight="1">
      <x:c r="A25" s="8" t="s">
        <x:v>7</x:v>
      </x:c>
      <x:c r="B25" s="23"/>
      <x:c r="C25" s="23"/>
      <x:c r="D25" s="23"/>
      <x:c r="E25" s="23"/>
      <x:c r="F25" s="23"/>
      <x:c r="G25" s="23"/>
      <x:c r="H25" s="23"/>
      <x:c r="I25" s="23"/>
      <x:c r="J25" s="23"/>
      <x:c r="K25" s="24"/>
    </x:row>
    <x:row r="26" ht="24.75" hidden="0" customHeight="1">
      <x:c r="A26" s="17" t="s">
        <x:v>8</x:v>
      </x:c>
      <x:c r="B26" s="18"/>
      <x:c r="C26" s="18"/>
      <x:c r="D26" s="18"/>
      <x:c r="E26" s="18"/>
      <x:c r="F26" s="18"/>
      <x:c r="G26" s="18"/>
      <x:c r="H26" s="18"/>
      <x:c r="I26" s="18"/>
      <x:c r="J26" s="18"/>
      <x:c r="K26" s="20"/>
    </x:row>
    <x:row r="27" ht="19.5" hidden="0" customHeight="1">
      <x:c r="F27" s="25"/>
      <x:c r="G27" s="25"/>
      <x:c r="H27" s="25"/>
      <x:c r="I27" s="25"/>
      <x:c r="J27" s="26"/>
    </x:row>
    <x:row r="28" ht="19.5" hidden="0" customHeight="1">
      <x:c r="C28" s="26"/>
      <x:c r="H28" s="26"/>
      <x:c r="I28" s="26"/>
      <x:c r="J28" s="26"/>
    </x:row>
    <x:row r="29" ht="68.6500015258789" hidden="0">
      <x:c r="A29" s="6" t="str">
        <x:v>子準則
編號</x:v>
      </x:c>
      <x:c r="B29" s="6" t="str">
        <x:v>子準則
名稱或說明</x:v>
      </x:c>
      <x:c r="C29" s="6" t="str">
        <x:v>評分日</x:v>
      </x:c>
      <x:c r="D29" s="6" t="str">
        <x:v>評分項目
類型
M = 測量
J = 判斷</x:v>
      </x:c>
      <x:c r="E29" s="6" t="str">
        <x:v>評分項目－說明</x:v>
      </x:c>
      <x:c r="F29" s="6" t="str">
        <x:v>判斷分數</x:v>
      </x:c>
      <x:c r="G29" s="6" t="str">
        <x:v>額外評分項目說明（測量或判斷）
或
判斷分數說明（僅判斷）</x:v>
      </x:c>
      <x:c r="H29" s="6" t="str">
        <x:v>要求
（僅測量）</x:v>
      </x:c>
      <x:c r="I29" s="6" t="str">
        <x:v>WSOS 章節</x:v>
      </x:c>
      <x:c r="J29" s="6" t="str">
        <x:v>計算列
（僅匯出）</x:v>
      </x:c>
      <x:c r="K29" s="6" t="str">
        <x:v>最高
分數</x:v>
      </x:c>
      <x:c r="L29" s="27" t="str">
        <x:v>準則 A</x:v>
      </x:c>
      <x:c r="M29" s="28" t="str">
        <x:v>總
分</x:v>
      </x:c>
      <x:c r="N29" s="29" t="n">
        <x:f aca="0">SUM(K30:K84)</x:f>
        <x:v>25.000000000000004</x:v>
      </x:c>
    </x:row>
    <x:row r="30" ht="12.75" hidden="0">
      <x:c r="A30" s="8" t="s">
        <x:v>9</x:v>
      </x:c>
      <x:c r="B30" s="23" t="str">
        <x:v>一般要求</x:v>
      </x:c>
      <x:c r="C30" s="8" t="str">
        <x:v>任意</x:v>
      </x:c>
      <x:c r="D30" s="8"/>
      <x:c r="E30" s="9"/>
      <x:c r="F30" s="30"/>
      <x:c r="G30" s="9"/>
      <x:c r="H30" s="23"/>
      <x:c r="I30" s="8"/>
      <x:c r="J30" s="8"/>
      <x:c r="K30" s="24"/>
    </x:row>
    <x:row r="31" ht="23.850000381469727" hidden="0">
      <x:c r="A31" s="8"/>
      <x:c r="B31" s="23"/>
      <x:c r="C31" s="8"/>
      <x:c r="D31" s="8" t="s">
        <x:v>10</x:v>
      </x:c>
      <x:c r="E31" s="31" t="str">
        <x:v>Git 儲存庫的 main 分支中包含已編譯的應用程式及原始碼</x:v>
      </x:c>
      <x:c r="F31" s="30"/>
      <x:c r="G31" s="9"/>
      <x:c r="H31" s="23"/>
      <x:c r="I31" s="8"/>
      <x:c r="J31" s="8"/>
      <x:c r="K31" s="24" t="n">
        <x:v>0.5</x:v>
      </x:c>
    </x:row>
    <x:row r="32" ht="23.850000381469727" hidden="0">
      <x:c r="A32" s="8"/>
      <x:c r="B32" s="23"/>
      <x:c r="C32" s="8"/>
      <x:c r="D32" s="30" t="s">
        <x:v>10</x:v>
      </x:c>
      <x:c r="E32" s="9" t="str">
        <x:v>應用程式名稱為「TaskWeave X」，其中 X 為工作站編號</x:v>
      </x:c>
      <x:c r="F32" s="30"/>
      <x:c r="G32" s="9"/>
      <x:c r="H32" s="23"/>
      <x:c r="I32" s="8"/>
      <x:c r="J32" s="8"/>
      <x:c r="K32" s="24" t="n">
        <x:v>0.2</x:v>
      </x:c>
    </x:row>
    <x:row r="33" ht="12.800000190734863" hidden="0">
      <x:c r="A33" s="8"/>
      <x:c r="B33" s="23"/>
      <x:c r="C33" s="8"/>
      <x:c r="D33" s="30" t="s">
        <x:v>10</x:v>
      </x:c>
      <x:c r="E33" s="9" t="str">
        <x:v>已使用應用程式圖示</x:v>
      </x:c>
      <x:c r="F33" s="30"/>
      <x:c r="G33" s="9"/>
      <x:c r="H33" s="23"/>
      <x:c r="I33" s="8"/>
      <x:c r="J33" s="8"/>
      <x:c r="K33" s="24" t="n">
        <x:v>0.2</x:v>
      </x:c>
    </x:row>
    <x:row r="34" ht="23.850000381469727" hidden="0">
      <x:c r="A34" s="8"/>
      <x:c r="B34" s="23"/>
      <x:c r="C34" s="8"/>
      <x:c r="D34" s="30" t="s">
        <x:v>10</x:v>
      </x:c>
      <x:c r="E34" s="32" t="str">
        <x:v>應用程式啟動時，顯示應用程式圖示以取代預設的白色啟動畫面。</x:v>
      </x:c>
      <x:c r="F34" s="30"/>
      <x:c r="G34" s="9"/>
      <x:c r="H34" s="9"/>
      <x:c r="I34" s="30"/>
      <x:c r="J34" s="30"/>
      <x:c r="K34" s="24" t="n">
        <x:v>0.25</x:v>
      </x:c>
    </x:row>
    <x:row r="35" ht="12.75" hidden="0">
      <x:c r="A35" s="8"/>
      <x:c r="B35" s="23"/>
      <x:c r="C35" s="8"/>
      <x:c r="D35" s="30" t="s">
        <x:v>10</x:v>
      </x:c>
      <x:c r="E35" s="32" t="str">
        <x:v>應用程式啟動後進入看板頁面。</x:v>
      </x:c>
      <x:c r="F35" s="30"/>
      <x:c r="G35" s="9"/>
      <x:c r="H35" s="23"/>
      <x:c r="I35" s="8"/>
      <x:c r="J35" s="8"/>
      <x:c r="K35" s="24" t="n">
        <x:v>0.1</x:v>
      </x:c>
    </x:row>
    <x:row r="36" ht="12.75" hidden="0">
      <x:c r="A36" s="8"/>
      <x:c r="B36" s="23"/>
      <x:c r="C36" s="8"/>
      <x:c r="D36" s="30" t="s">
        <x:v>10</x:v>
      </x:c>
      <x:c r="E36" s="32" t="str">
        <x:v>所有頁面左側均包含導覽列。</x:v>
      </x:c>
      <x:c r="F36" s="30"/>
      <x:c r="G36" s="9"/>
      <x:c r="H36" s="9"/>
      <x:c r="I36" s="30"/>
      <x:c r="J36" s="30"/>
      <x:c r="K36" s="24" t="n">
        <x:v>0.1</x:v>
      </x:c>
      <x:c r="AM36" s="1"/>
      <x:c r="AZ36" s="1"/>
    </x:row>
    <x:row r="37" ht="35.04999923706055" hidden="0">
      <x:c r="A37" s="8"/>
      <x:c r="B37" s="23"/>
      <x:c r="C37" s="8"/>
      <x:c r="D37" s="30" t="s">
        <x:v>10</x:v>
      </x:c>
      <x:c r="E37" s="9" t="str">
        <x:v>導覽列</x:v>
      </x:c>
      <x:c r="F37" s="30"/>
      <x:c r="G37" s="32" t="str">
        <x:v>0.10：應用程式圖示；每個頁面按鈕 0.25：存在帶圖示的按鈕且可開啟對應頁面；0.10：目前頁面有高亮顯示</x:v>
      </x:c>
      <x:c r="H37" s="23"/>
      <x:c r="I37" s="8"/>
      <x:c r="J37" s="8"/>
      <x:c r="K37" s="24" t="n">
        <x:v>0.95</x:v>
      </x:c>
    </x:row>
    <x:row r="38" ht="12.75" hidden="0">
      <x:c r="A38" s="8"/>
      <x:c r="B38" s="23"/>
      <x:c r="C38" s="8"/>
      <x:c r="D38" s="30" t="s">
        <x:v>10</x:v>
      </x:c>
      <x:c r="E38" s="9" t="str">
        <x:v>應用程式首次啟動時會顯示提供的任務</x:v>
      </x:c>
      <x:c r="F38" s="30"/>
      <x:c r="G38" s="9"/>
      <x:c r="H38" s="23"/>
      <x:c r="I38" s="8"/>
      <x:c r="J38" s="8"/>
      <x:c r="K38" s="24" t="n">
        <x:v>1</x:v>
      </x:c>
    </x:row>
    <x:row r="39" ht="35.04999923706055" hidden="0">
      <x:c r="A39" s="8"/>
      <x:c r="B39" s="23"/>
      <x:c r="C39" s="8"/>
      <x:c r="D39" s="30" t="s">
        <x:v>10</x:v>
      </x:c>
      <x:c r="E39" s="32" t="str">
        <x:v>建立「Add Task（新增任務）」應用程式捷徑（長按應用程式圖示時顯示），點擊後啟動應用程式並開啟任務對話框以建立新任務。</x:v>
      </x:c>
      <x:c r="F39" s="30"/>
      <x:c r="G39" s="9"/>
      <x:c r="H39" s="23"/>
      <x:c r="I39" s="8"/>
      <x:c r="J39" s="8"/>
      <x:c r="K39" s="24" t="n">
        <x:v>1</x:v>
      </x:c>
    </x:row>
    <x:row r="40" ht="12.75" hidden="0">
      <x:c r="A40" s="8"/>
      <x:c r="B40" s="23"/>
      <x:c r="C40" s="8"/>
      <x:c r="D40" s="30" t="s">
        <x:v>10</x:v>
      </x:c>
      <x:c r="E40" s="32" t="str">
        <x:v>應用程式重新啟動後，所作變更仍會保留。</x:v>
      </x:c>
      <x:c r="F40" s="30"/>
      <x:c r="G40" s="9"/>
      <x:c r="H40" s="23"/>
      <x:c r="I40" s="8"/>
      <x:c r="J40" s="8"/>
      <x:c r="K40" s="24" t="n">
        <x:v>1</x:v>
      </x:c>
    </x:row>
    <x:row r="41" ht="35.04999923706055" hidden="0">
      <x:c r="A41" s="8"/>
      <x:c r="B41" s="23"/>
      <x:c r="C41" s="8"/>
      <x:c r="D41" s="30" t="s">
        <x:v>10</x:v>
      </x:c>
      <x:c r="E41" s="32" t="str">
        <x:v>建立、編輯、切換完成狀態或刪除任務後，必須顯示一則暫時訊息，並提供「Undo（復原）」選項，以還原任務之前的狀態。</x:v>
      </x:c>
      <x:c r="F41" s="30"/>
      <x:c r="G41" s="9" t="str">
        <x:v>每項 0.25：建立、編輯、切換完成狀態、刪除</x:v>
      </x:c>
      <x:c r="H41" s="23"/>
      <x:c r="I41" s="8"/>
      <x:c r="J41" s="8"/>
      <x:c r="K41" s="24" t="n">
        <x:v>1</x:v>
      </x:c>
    </x:row>
    <x:row r="42" ht="12.75" hidden="0">
      <x:c r="A42" s="8" t="s">
        <x:v>11</x:v>
      </x:c>
      <x:c r="B42" s="23" t="str">
        <x:v>統計頁面</x:v>
      </x:c>
      <x:c r="C42" s="8" t="str">
        <x:v>任意</x:v>
      </x:c>
      <x:c r="D42" s="8"/>
      <x:c r="E42" s="9"/>
      <x:c r="F42" s="30"/>
      <x:c r="G42" s="9"/>
      <x:c r="H42" s="23"/>
      <x:c r="I42" s="8"/>
      <x:c r="J42" s="8"/>
      <x:c r="K42" s="24"/>
    </x:row>
    <x:row r="43" ht="35.04999923706055" hidden="0">
      <x:c r="A43" s="8"/>
      <x:c r="B43" s="23"/>
      <x:c r="C43" s="8"/>
      <x:c r="D43" s="8" t="s">
        <x:v>10</x:v>
      </x:c>
      <x:c r="E43" s="32" t="str">
        <x:v>文字「This Week: X open tasks, Y completed tasks（本週：X 個未完成任務，Y 個已完成任務）」，其中 X 與 Y 根據本週（星期一至星期日）計算</x:v>
      </x:c>
      <x:c r="F43" s="30"/>
      <x:c r="G43" s="9" t="str">
        <x:v>0.25：52 個未完成任務；0.25：1 個已完成任務（使用提供的任務）</x:v>
      </x:c>
      <x:c r="H43" s="23"/>
      <x:c r="I43" s="8"/>
      <x:c r="J43" s="8"/>
      <x:c r="K43" s="24" t="n">
        <x:v>0.5</x:v>
      </x:c>
    </x:row>
    <x:row r="44" ht="23.850000381469727" hidden="0">
      <x:c r="A44" s="8"/>
      <x:c r="B44" s="23"/>
      <x:c r="C44" s="8"/>
      <x:c r="D44" s="8" t="s">
        <x:v>10</x:v>
      </x:c>
      <x:c r="E44" s="32" t="str">
        <x:v>文字「In Total: X open tasks, Y completed tasks（總計：X 個未完成任務，Y 個已完成任務）」，其中 X 與 Y 根據所有任務計算</x:v>
      </x:c>
      <x:c r="F44" s="30"/>
      <x:c r="G44" s="9" t="str">
        <x:v>0.25：427 個未完成任務；0.25：14 個已完成任務（使用提供的任務）</x:v>
      </x:c>
      <x:c r="H44" s="23"/>
      <x:c r="I44" s="8"/>
      <x:c r="J44" s="8"/>
      <x:c r="K44" s="24" t="n">
        <x:v>0.5</x:v>
      </x:c>
    </x:row>
    <x:row r="45" ht="35.04999923706055" hidden="0">
      <x:c r="A45" s="8"/>
      <x:c r="B45" s="23"/>
      <x:c r="C45" s="8"/>
      <x:c r="D45" s="8" t="s">
        <x:v>10</x:v>
      </x:c>
      <x:c r="E45" s="32" t="str">
        <x:v>長條圖中每個星期日各有一個欄位（星期一至星期日）</x:v>
      </x:c>
      <x:c r="F45" s="30"/>
      <x:c r="G45" s="9" t="str">
        <x:v>星期五有 1 個已完成任務，其餘日子為 0；星期一至星期日的未完成任務數依次為 6、8、9、6、7、9、8（使用提供的任務）</x:v>
      </x:c>
      <x:c r="H45" s="23"/>
      <x:c r="I45" s="8"/>
      <x:c r="J45" s="8"/>
      <x:c r="K45" s="24" t="n">
        <x:v>0.5</x:v>
      </x:c>
    </x:row>
    <x:row r="46" ht="23.850000381469727" hidden="0">
      <x:c r="A46" s="8"/>
      <x:c r="B46" s="23"/>
      <x:c r="C46" s="8"/>
      <x:c r="D46" s="8" t="s">
        <x:v>10</x:v>
      </x:c>
      <x:c r="E46" s="9" t="str">
        <x:v>長條圖包含代表每天未完成與已完成任務的區段（數值非 0 時）</x:v>
      </x:c>
      <x:c r="F46" s="30"/>
      <x:c r="G46" s="9"/>
      <x:c r="H46" s="23"/>
      <x:c r="I46" s="8"/>
      <x:c r="J46" s="8"/>
      <x:c r="K46" s="24" t="n">
        <x:v>0.8</x:v>
      </x:c>
    </x:row>
    <x:row r="47" ht="23.850000381469727" hidden="0">
      <x:c r="A47" s="8"/>
      <x:c r="B47" s="23"/>
      <x:c r="C47" s="8"/>
      <x:c r="D47" s="8" t="s">
        <x:v>10</x:v>
      </x:c>
      <x:c r="E47" s="9" t="str">
        <x:v>長條圖包含每天未完成與已完成任務數量的標籤（數值非 0 時）</x:v>
      </x:c>
      <x:c r="F47" s="30"/>
      <x:c r="G47" s="9"/>
      <x:c r="H47" s="23"/>
      <x:c r="I47" s="8"/>
      <x:c r="J47" s="8"/>
      <x:c r="K47" s="24" t="n">
        <x:v>0.4</x:v>
      </x:c>
    </x:row>
    <x:row r="48" ht="12.75" hidden="0">
      <x:c r="A48" s="8"/>
      <x:c r="B48" s="23"/>
      <x:c r="C48" s="8"/>
      <x:c r="D48" s="8" t="s">
        <x:v>10</x:v>
      </x:c>
      <x:c r="E48" s="9" t="str">
        <x:v>長條圖包含星期標籤</x:v>
      </x:c>
      <x:c r="F48" s="30"/>
      <x:c r="G48" s="9"/>
      <x:c r="H48" s="23"/>
      <x:c r="I48" s="8"/>
      <x:c r="J48" s="8"/>
      <x:c r="K48" s="24" t="n">
        <x:v>0.25</x:v>
      </x:c>
    </x:row>
    <x:row r="49" ht="23.850000381469727" hidden="0">
      <x:c r="A49" s="8"/>
      <x:c r="B49" s="23"/>
      <x:c r="C49" s="8"/>
      <x:c r="D49" s="8" t="s">
        <x:v>10</x:v>
      </x:c>
      <x:c r="E49" s="32" t="str">
        <x:v>建立、編輯或刪除任務時，所有數字都會重新計算並更新。</x:v>
      </x:c>
      <x:c r="F49" s="30"/>
      <x:c r="G49" s="9"/>
      <x:c r="H49" s="23"/>
      <x:c r="I49" s="8"/>
      <x:c r="J49" s="8"/>
      <x:c r="K49" s="24" t="n">
        <x:v>0.1</x:v>
      </x:c>
    </x:row>
    <x:row r="50" ht="12.75" hidden="0">
      <x:c r="A50" s="8" t="s">
        <x:v>12</x:v>
      </x:c>
      <x:c r="B50" s="23" t="str">
        <x:v>看板頁面</x:v>
      </x:c>
      <x:c r="C50" s="8" t="str">
        <x:v>任意</x:v>
      </x:c>
      <x:c r="D50" s="30"/>
      <x:c r="E50" s="9"/>
      <x:c r="F50" s="30"/>
      <x:c r="G50" s="9"/>
      <x:c r="H50" s="23"/>
      <x:c r="I50" s="8"/>
      <x:c r="J50" s="8"/>
      <x:c r="K50" s="24"/>
    </x:row>
    <x:row r="51" ht="68.6500015258789" hidden="0">
      <x:c r="A51" s="8"/>
      <x:c r="B51" s="23"/>
      <x:c r="C51" s="8"/>
      <x:c r="D51" s="30" t="s">
        <x:v>10</x:v>
      </x:c>
      <x:c r="E51" s="9" t="str">
        <x:v>所有元素均存在</x:v>
      </x:c>
      <x:c r="F51" s="30"/>
      <x:c r="G51" s="9" t="str">
        <x:v>0.05：「Board（看板）」文字；0.05：「Add Task（新增任務）」按鈕；每項 0.10：五個任務欄（必要時可捲動），每欄包含標題與可捲動的任務清單；0.20：每個優先級群組包含標題、顏色、「Add Task（新增任務）」按鈕及任務；0.20：每個任務包含標題（最多 1 行）、可選的簡短說明（最多 2 行）及重複圖示（如適用）</x:v>
      </x:c>
      <x:c r="H51" s="23"/>
      <x:c r="I51" s="8"/>
      <x:c r="J51" s="8"/>
      <x:c r="K51" s="24" t="n">
        <x:v>1</x:v>
      </x:c>
    </x:row>
    <x:row r="52" ht="23.850000381469727" hidden="0">
      <x:c r="A52" s="8"/>
      <x:c r="B52" s="23"/>
      <x:c r="C52" s="8"/>
      <x:c r="D52" s="8" t="s">
        <x:v>10</x:v>
      </x:c>
      <x:c r="E52" s="32" t="str">
        <x:v>Today（今天）與 Tomorrow（明天）：任務必須按優先級 High（高）、Medium（中）、Low（低）分組。即使群組為空，也必須顯示所有群組。</x:v>
      </x:c>
      <x:c r="F52" s="30"/>
      <x:c r="G52" s="9" t="str">
        <x:v>每欄 0.25</x:v>
      </x:c>
      <x:c r="H52" s="23"/>
      <x:c r="I52" s="8"/>
      <x:c r="J52" s="8"/>
      <x:c r="K52" s="24" t="n">
        <x:v>0.5</x:v>
      </x:c>
    </x:row>
    <x:row r="53" ht="35.04999923706055" hidden="0">
      <x:c r="A53" s="8"/>
      <x:c r="B53" s="23"/>
      <x:c r="C53" s="8"/>
      <x:c r="D53" s="8" t="s">
        <x:v>10</x:v>
      </x:c>
      <x:c r="E53" s="32" t="str">
        <x:v>Today（今天）與 Tomorrow（明天）：可在同一欄內拖放任務以重新排序，即使跨越不同優先級群組亦可（並自動更改任務的優先級）。</x:v>
      </x:c>
      <x:c r="F53" s="30"/>
      <x:c r="G53" s="9" t="str">
        <x:v>0.25：在相同優先級內拖曳重新排序；0.25：拖曳以更改優先級</x:v>
      </x:c>
      <x:c r="H53" s="23"/>
      <x:c r="I53" s="8"/>
      <x:c r="J53" s="8"/>
      <x:c r="K53" s="24" t="n">
        <x:v>0.5</x:v>
      </x:c>
    </x:row>
    <x:row r="54" ht="35.04999923706055" hidden="0">
      <x:c r="A54" s="8"/>
      <x:c r="B54" s="23"/>
      <x:c r="C54" s="8"/>
      <x:c r="D54" s="8" t="s">
        <x:v>10</x:v>
      </x:c>
      <x:c r="E54" s="32" t="str">
        <x:v>Overdue（逾期）、Upcoming（即將到期）及 Completed（已完成）：任務先按到期日分組（Overdue：最早的在前；Upcoming：最近到期的在前；Completed：最近完成的在前），再按優先級排序。</x:v>
      </x:c>
      <x:c r="F54" s="30"/>
      <x:c r="G54" s="9" t="str">
        <x:v>每欄 0.15</x:v>
      </x:c>
      <x:c r="H54" s="9"/>
      <x:c r="I54" s="30"/>
      <x:c r="J54" s="30"/>
      <x:c r="K54" s="24" t="n">
        <x:v>0.45</x:v>
      </x:c>
    </x:row>
    <x:row r="55" ht="35.04999923706055" hidden="0">
      <x:c r="A55" s="8"/>
      <x:c r="B55" s="23"/>
      <x:c r="C55" s="8"/>
      <x:c r="D55" s="8" t="s">
        <x:v>10</x:v>
      </x:c>
      <x:c r="E55" s="32" t="str">
        <x:v>Overdue（逾期）、Upcoming（即將到期）及 Completed（已完成）：只顯示有任務的日期。但對每個顯示的日期，即使某優先級群組為空，也必須顯示所有優先級群組。</x:v>
      </x:c>
      <x:c r="F55" s="30"/>
      <x:c r="G55" s="9"/>
      <x:c r="H55" s="9"/>
      <x:c r="I55" s="30"/>
      <x:c r="J55" s="30"/>
      <x:c r="K55" s="24" t="n">
        <x:v>0.2</x:v>
      </x:c>
    </x:row>
    <x:row r="56" ht="46.25" hidden="0">
      <x:c r="A56" s="8"/>
      <x:c r="B56" s="23"/>
      <x:c r="C56" s="8"/>
      <x:c r="D56" s="8" t="s">
        <x:v>10</x:v>
      </x:c>
      <x:c r="E56" s="32" t="str">
        <x:v>Overdue（逾期）、Upcoming（即將到期）及 Completed（已完成）：可在同一欄內拖放任務以重新排序，即使跨越不同到期日及優先級群組亦可（並自動更改任務的到期日與優先級）。</x:v>
      </x:c>
      <x:c r="F56" s="30"/>
      <x:c r="G56" s="32" t="str">
        <x:v>0.25：在相同優先級內拖曳重新排序；0.25：拖曳以更改到期日；0.25：拖曳以更改優先級</x:v>
      </x:c>
      <x:c r="H56" s="23"/>
      <x:c r="I56" s="8"/>
      <x:c r="J56" s="8"/>
      <x:c r="K56" s="24" t="n">
        <x:v>0.75</x:v>
      </x:c>
    </x:row>
    <x:row r="57" ht="23.850000381469727" hidden="0">
      <x:c r="A57" s="8"/>
      <x:c r="B57" s="23"/>
      <x:c r="C57" s="8"/>
      <x:c r="D57" s="8" t="s">
        <x:v>10</x:v>
      </x:c>
      <x:c r="E57" s="32" t="str">
        <x:v>在 Today（今天）、Tomorrow（明天）或 Upcoming（即將到期）欄中的任務上由左向右滑動，會將其到期日延後一天。</x:v>
      </x:c>
      <x:c r="F57" s="30"/>
      <x:c r="G57" s="9"/>
      <x:c r="H57" s="23"/>
      <x:c r="I57" s="8"/>
      <x:c r="J57" s="8"/>
      <x:c r="K57" s="24" t="n">
        <x:v>0.75</x:v>
      </x:c>
    </x:row>
    <x:row r="58" ht="12.75" hidden="0">
      <x:c r="A58" s="8" t="s">
        <x:v>13</x:v>
      </x:c>
      <x:c r="B58" s="23" t="str">
        <x:v>日曆頁面</x:v>
      </x:c>
      <x:c r="C58" s="8" t="str">
        <x:v>任意</x:v>
      </x:c>
      <x:c r="D58" s="8"/>
      <x:c r="E58" s="9"/>
      <x:c r="F58" s="30"/>
      <x:c r="G58" s="9"/>
      <x:c r="H58" s="23"/>
      <x:c r="I58" s="8"/>
      <x:c r="J58" s="8"/>
      <x:c r="K58" s="24"/>
    </x:row>
    <x:row r="59" ht="23.850000381469727" hidden="0">
      <x:c r="A59" s="8"/>
      <x:c r="B59" s="23"/>
      <x:c r="C59" s="8"/>
      <x:c r="D59" s="8" t="s">
        <x:v>10</x:v>
      </x:c>
      <x:c r="E59" s="9" t="str">
        <x:v>基本元素均存在</x:v>
      </x:c>
      <x:c r="F59" s="30"/>
      <x:c r="G59" s="32" t="str">
        <x:v>每項 0.05：「Calendar（日曆）」文字、年份與月份標籤、「Add Task（新增任務）」按鈕</x:v>
      </x:c>
      <x:c r="H59" s="9"/>
      <x:c r="I59" s="8"/>
      <x:c r="J59" s="8"/>
      <x:c r="K59" s="24" t="n">
        <x:v>0.15</x:v>
      </x:c>
    </x:row>
    <x:row r="60" ht="57.45000076293945" hidden="0">
      <x:c r="A60" s="8"/>
      <x:c r="B60" s="23"/>
      <x:c r="C60" s="8"/>
      <x:c r="D60" s="8" t="s">
        <x:v>10</x:v>
      </x:c>
      <x:c r="E60" s="9" t="str">
        <x:v>日曆元素均存在</x:v>
      </x:c>
      <x:c r="F60" s="30"/>
      <x:c r="G60" s="32" t="str">
        <x:v>0.10：每個星期日都有欄標題（星期一至星期日）；0.25：當月每週各有一列（列數可依月份而異）；0.25：當月每天都有日期儲存格，並可包含上月及下月的部分日期以填滿網格</x:v>
      </x:c>
      <x:c r="H60" s="9"/>
      <x:c r="I60" s="8"/>
      <x:c r="J60" s="8"/>
      <x:c r="K60" s="24" t="n">
        <x:v>0.6</x:v>
      </x:c>
    </x:row>
    <x:row r="61" ht="46.25" hidden="0">
      <x:c r="A61" s="8"/>
      <x:c r="B61" s="23"/>
      <x:c r="C61" s="8"/>
      <x:c r="D61" s="8" t="s">
        <x:v>10</x:v>
      </x:c>
      <x:c r="E61" s="9" t="str">
        <x:v>日期儲存格元素均存在</x:v>
      </x:c>
      <x:c r="F61" s="30"/>
      <x:c r="G61" s="32" t="str">
        <x:v>0.25：每個日期儲存格包含日期數字、「Add Task（新增任務）」按鈕及可捲動的任務清單；0.20：每個任務包含標題（最多 2 行）、代表優先級的顏色及重複圖示（如適用）</x:v>
      </x:c>
      <x:c r="H61" s="23"/>
      <x:c r="I61" s="8"/>
      <x:c r="J61" s="8"/>
      <x:c r="K61" s="24" t="n">
        <x:v>0.45</x:v>
      </x:c>
    </x:row>
    <x:row r="62" ht="57.45000076293945" hidden="0">
      <x:c r="A62" s="8"/>
      <x:c r="B62" s="23"/>
      <x:c r="C62" s="8"/>
      <x:c r="D62" s="8" t="s">
        <x:v>10</x:v>
      </x:c>
      <x:c r="E62" s="32" t="str">
        <x:v>每個日期儲存格先顯示未完成任務，其順序與看板頁面「今天」欄相同（即先按優先級排序，再按自訂順序排列）。已完成任務顯示在未完成任務下方，同樣按優先級及自訂順序排列。</x:v>
      </x:c>
      <x:c r="F62" s="30"/>
      <x:c r="G62" s="9"/>
      <x:c r="H62" s="23"/>
      <x:c r="I62" s="8"/>
      <x:c r="J62" s="8"/>
      <x:c r="K62" s="24" t="n">
        <x:v>1</x:v>
      </x:c>
    </x:row>
    <x:row r="63" ht="23.850000381469727" hidden="0">
      <x:c r="A63" s="8"/>
      <x:c r="B63" s="23"/>
      <x:c r="C63" s="8"/>
      <x:c r="D63" s="8" t="s">
        <x:v>10</x:v>
      </x:c>
      <x:c r="E63" s="32" t="str">
        <x:v>已完成任務必須能與未完成任務清楚區分。</x:v>
      </x:c>
      <x:c r="F63" s="30"/>
      <x:c r="G63" s="9"/>
      <x:c r="H63" s="9"/>
      <x:c r="I63" s="30"/>
      <x:c r="J63" s="30"/>
      <x:c r="K63" s="24" t="n">
        <x:v>0.25</x:v>
      </x:c>
    </x:row>
    <x:row r="64" ht="23.850000381469727" hidden="0">
      <x:c r="A64" s="30"/>
      <x:c r="B64" s="23"/>
      <x:c r="C64" s="8"/>
      <x:c r="D64" s="8" t="s">
        <x:v>10</x:v>
      </x:c>
      <x:c r="E64" s="32" t="str">
        <x:v>預設顯示目前月份，並以視覺方式突出顯示今天。</x:v>
      </x:c>
      <x:c r="F64" s="30"/>
      <x:c r="G64" s="9" t="str">
        <x:v>0.10：目前月份；0.10：今天</x:v>
      </x:c>
      <x:c r="H64" s="23"/>
      <x:c r="I64" s="8"/>
      <x:c r="J64" s="8"/>
      <x:c r="K64" s="24" t="n">
        <x:v>0.2</x:v>
      </x:c>
    </x:row>
    <x:row r="65" ht="23.850000381469727" hidden="0">
      <x:c r="A65" s="8"/>
      <x:c r="B65" s="23"/>
      <x:c r="C65" s="8"/>
      <x:c r="D65" s="8" t="s">
        <x:v>10</x:v>
      </x:c>
      <x:c r="E65" s="32" t="str">
        <x:v>使用者可向左或向右滑動以切換月份，年份與月份標籤必須同步更新。</x:v>
      </x:c>
      <x:c r="F65" s="30"/>
      <x:c r="G65" s="9" t="str">
        <x:v>0.50：滑動切換；0.10：標籤更新</x:v>
      </x:c>
      <x:c r="H65" s="23"/>
      <x:c r="I65" s="8"/>
      <x:c r="J65" s="8"/>
      <x:c r="K65" s="24" t="n">
        <x:v>0.6</x:v>
      </x:c>
    </x:row>
    <x:row r="66" ht="23.850000381469727" hidden="0">
      <x:c r="A66" s="8" t="s">
        <x:v>14</x:v>
      </x:c>
      <x:c r="B66" s="32" t="str">
        <x:v>看板頁面與日曆頁面的共同功能要求</x:v>
      </x:c>
      <x:c r="C66" s="8"/>
      <x:c r="D66" s="8"/>
      <x:c r="E66" s="32"/>
      <x:c r="F66" s="30"/>
      <x:c r="G66" s="9"/>
      <x:c r="H66" s="23"/>
      <x:c r="I66" s="8"/>
      <x:c r="J66" s="8"/>
      <x:c r="K66" s="24"/>
    </x:row>
    <x:row r="67" ht="46.25" hidden="0">
      <x:c r="A67" s="8"/>
      <x:c r="B67" s="23"/>
      <x:c r="C67" s="8"/>
      <x:c r="D67" s="30" t="s">
        <x:v>10</x:v>
      </x:c>
      <x:c r="E67" s="32" t="str">
        <x:v>對於重複任務，必須顯示所有已完成／逾期的發生項，以及目前月份與下個月份的所有發生項。</x:v>
      </x:c>
      <x:c r="F67" s="30"/>
      <x:c r="G67" s="9" t="str">
        <x:v>0.60：4 月及 5 月每天都有任務，但 3 月及 6 月沒有；0.70：2026-04-07 有 3 個任務：Morning workout（晨間運動）、Write journal（寫日記）、Laundry（洗衣）；0.70：2026-05-03 有 7 個任務</x:v>
      </x:c>
      <x:c r="H67" s="9"/>
      <x:c r="I67" s="30"/>
      <x:c r="J67" s="30"/>
      <x:c r="K67" s="24" t="n">
        <x:v>2</x:v>
      </x:c>
    </x:row>
    <x:row r="68" ht="23.850000381469727" hidden="0">
      <x:c r="A68" s="8"/>
      <x:c r="B68" s="23"/>
      <x:c r="C68" s="8"/>
      <x:c r="D68" s="30" t="s">
        <x:v>10</x:v>
      </x:c>
      <x:c r="E68" s="32" t="str">
        <x:v>點擊任務可在已完成與未完成狀態之間切換。</x:v>
      </x:c>
      <x:c r="F68" s="30"/>
      <x:c r="G68" s="9"/>
      <x:c r="H68" s="9"/>
      <x:c r="I68" s="8"/>
      <x:c r="J68" s="8"/>
      <x:c r="K68" s="24" t="n">
        <x:v>0.5</x:v>
      </x:c>
    </x:row>
    <x:row r="69" ht="12.75" hidden="0">
      <x:c r="A69" s="8"/>
      <x:c r="B69" s="23"/>
      <x:c r="C69" s="8"/>
      <x:c r="D69" s="30" t="s">
        <x:v>10</x:v>
      </x:c>
      <x:c r="E69" s="32" t="str">
        <x:v>長按任務會開啟任務對話框以編輯該任務。</x:v>
      </x:c>
      <x:c r="F69" s="30"/>
      <x:c r="G69" s="9"/>
      <x:c r="H69" s="9"/>
      <x:c r="I69" s="30"/>
      <x:c r="J69" s="30"/>
      <x:c r="K69" s="24" t="n">
        <x:v>0.1</x:v>
      </x:c>
    </x:row>
    <x:row r="70" ht="23.850000381469727" hidden="0">
      <x:c r="A70" s="8"/>
      <x:c r="B70" s="23"/>
      <x:c r="C70" s="8"/>
      <x:c r="D70" s="30" t="s">
        <x:v>10</x:v>
      </x:c>
      <x:c r="E70" s="32" t="str">
        <x:v>新增或編輯任務後，任務必須自動移至正確位置；不要求動畫效果。</x:v>
      </x:c>
      <x:c r="F70" s="30"/>
      <x:c r="G70" s="9"/>
      <x:c r="H70" s="23"/>
      <x:c r="I70" s="8"/>
      <x:c r="J70" s="8"/>
      <x:c r="K70" s="24" t="n">
        <x:v>0.2</x:v>
      </x:c>
    </x:row>
    <x:row r="71" ht="23.850000381469727" hidden="0">
      <x:c r="A71" s="8"/>
      <x:c r="B71" s="23"/>
      <x:c r="C71" s="8"/>
      <x:c r="D71" s="8" t="s">
        <x:v>10</x:v>
      </x:c>
      <x:c r="E71" s="32" t="str">
        <x:v>點擊「Add Task（新增任務）」按鈕會開啟任務對話框以建立新任務。</x:v>
      </x:c>
      <x:c r="F71" s="30"/>
      <x:c r="G71" s="9"/>
      <x:c r="H71" s="23"/>
      <x:c r="I71" s="8"/>
      <x:c r="J71" s="8"/>
      <x:c r="K71" s="24" t="n">
        <x:v>0.1</x:v>
      </x:c>
    </x:row>
    <x:row r="72" ht="35.04999923706055" hidden="0">
      <x:c r="A72" s="8"/>
      <x:c r="B72" s="23"/>
      <x:c r="C72" s="8"/>
      <x:c r="D72" s="8" t="s">
        <x:v>10</x:v>
      </x:c>
      <x:c r="E72" s="32" t="str">
        <x:v>對於日期儲存格或優先級群組中的「Add Task（新增任務）」按鈕，開啟任務對話框時必須預先選取相應的到期日及／或優先級。</x:v>
      </x:c>
      <x:c r="F72" s="30"/>
      <x:c r="G72" s="9"/>
      <x:c r="H72" s="9"/>
      <x:c r="I72" s="30"/>
      <x:c r="J72" s="30"/>
      <x:c r="K72" s="24" t="n">
        <x:v>0.2</x:v>
      </x:c>
    </x:row>
    <x:row r="73" ht="12.75" hidden="0">
      <x:c r="A73" s="8" t="s">
        <x:v>15</x:v>
      </x:c>
      <x:c r="B73" s="23" t="str">
        <x:v>任務對話框</x:v>
      </x:c>
      <x:c r="C73" s="8" t="str">
        <x:v>任意</x:v>
      </x:c>
      <x:c r="D73" s="8"/>
      <x:c r="E73" s="32"/>
      <x:c r="F73" s="30"/>
      <x:c r="G73" s="9"/>
      <x:c r="H73" s="9"/>
      <x:c r="I73" s="8"/>
      <x:c r="J73" s="8"/>
      <x:c r="K73" s="24"/>
    </x:row>
    <x:row r="74" ht="12.75" hidden="0">
      <x:c r="A74" s="8"/>
      <x:c r="B74" s="23"/>
      <x:c r="C74" s="8"/>
      <x:c r="D74" s="8" t="s">
        <x:v>10</x:v>
      </x:c>
      <x:c r="E74" s="9" t="str">
        <x:v>所有元素均存在</x:v>
      </x:c>
      <x:c r="F74" s="30"/>
      <x:c r="G74" s="9" t="str">
        <x:v>每項 0.10</x:v>
      </x:c>
      <x:c r="H74" s="9"/>
      <x:c r="I74" s="30"/>
      <x:c r="J74" s="30"/>
      <x:c r="K74" s="24" t="n">
        <x:v>1</x:v>
      </x:c>
    </x:row>
    <x:row r="75" ht="35.04999923706055" hidden="0">
      <x:c r="A75" s="8"/>
      <x:c r="B75" s="23"/>
      <x:c r="C75" s="8"/>
      <x:c r="D75" s="8" t="s">
        <x:v>10</x:v>
      </x:c>
      <x:c r="E75" s="32" t="str">
        <x:v>單行「Title（標題）」文字欄位必須即時驗證標題不可為空。若標題為空，顯示紅色錯誤訊息「Title must not be empty（標題不可為空）」並停用「Create/Save（建立／儲存）」按鈕。</x:v>
      </x:c>
      <x:c r="F75" s="30"/>
      <x:c r="G75" s="9" t="str">
        <x:v>0.10：單行；0.10：非空驗證</x:v>
      </x:c>
      <x:c r="H75" s="23"/>
      <x:c r="I75" s="8"/>
      <x:c r="J75" s="8"/>
      <x:c r="K75" s="24" t="n">
        <x:v>0.2</x:v>
      </x:c>
    </x:row>
    <x:row r="76" ht="23.850000381469727" hidden="0">
      <x:c r="A76" s="8"/>
      <x:c r="B76" s="23"/>
      <x:c r="C76" s="8"/>
      <x:c r="D76" s="8" t="s">
        <x:v>10</x:v>
      </x:c>
      <x:c r="E76" s="32" t="str">
        <x:v>「Due Date（到期日）」日期選擇器必須支援直接從日曆檢視中選取任意日期（不得使用文字欄位，亦不得另開對話框）。</x:v>
      </x:c>
      <x:c r="F76" s="30"/>
      <x:c r="G76" s="9" t="str">
        <x:v>若到期日只能以其他方式選取，僅得 0.25 分</x:v>
      </x:c>
      <x:c r="H76" s="23"/>
      <x:c r="I76" s="8"/>
      <x:c r="J76" s="8"/>
      <x:c r="K76" s="24" t="n">
        <x:v>0.5</x:v>
      </x:c>
    </x:row>
    <x:row r="77" ht="35.04999923706055" hidden="0">
      <x:c r="A77" s="8"/>
      <x:c r="B77" s="23"/>
      <x:c r="C77" s="8"/>
      <x:c r="D77" s="8" t="s">
        <x:v>10</x:v>
      </x:c>
      <x:c r="E77" s="32" t="str">
        <x:v>除非另有說明，「Priority（優先級）」預設為「Low（低）」、「Repeating（重複）」預設為「Never（永不）」，「Due Date（到期日）」預設為一週後。</x:v>
      </x:c>
      <x:c r="F77" s="30"/>
      <x:c r="G77" s="9" t="str">
        <x:v>每項 0.10</x:v>
      </x:c>
      <x:c r="H77" s="23"/>
      <x:c r="I77" s="8"/>
      <x:c r="J77" s="8"/>
      <x:c r="K77" s="24" t="n">
        <x:v>0.3</x:v>
      </x:c>
    </x:row>
    <x:row r="78" ht="23.850000381469727" hidden="0">
      <x:c r="A78" s="8"/>
      <x:c r="B78" s="23"/>
      <x:c r="C78" s="8"/>
      <x:c r="D78" s="8" t="s">
        <x:v>10</x:v>
      </x:c>
      <x:c r="E78" s="32" t="str">
        <x:v>「Priority（優先級）」、「Repeating（重複）」及「Due Date（到期日）」必須始終有有效的選定值。</x:v>
      </x:c>
      <x:c r="F78" s="30"/>
      <x:c r="G78" s="9" t="str">
        <x:v>每項 0.10</x:v>
      </x:c>
      <x:c r="H78" s="23"/>
      <x:c r="I78" s="8"/>
      <x:c r="J78" s="8"/>
      <x:c r="K78" s="24" t="n">
        <x:v>0.3</x:v>
      </x:c>
    </x:row>
    <x:row r="79" ht="23.850000381469727" hidden="0">
      <x:c r="A79" s="8"/>
      <x:c r="B79" s="23"/>
      <x:c r="C79" s="8"/>
      <x:c r="D79" s="8" t="s">
        <x:v>10</x:v>
      </x:c>
      <x:c r="E79" s="9" t="str">
        <x:v>點擊「Create（建立）」按鈕會以指定屬性建立新任務並關閉對話框。</x:v>
      </x:c>
      <x:c r="F79" s="30"/>
      <x:c r="G79" s="9"/>
      <x:c r="H79" s="23"/>
      <x:c r="I79" s="8"/>
      <x:c r="J79" s="8"/>
      <x:c r="K79" s="24" t="n">
        <x:v>0.5</x:v>
      </x:c>
    </x:row>
    <x:row r="80" ht="23.850000381469727" hidden="0">
      <x:c r="A80" s="8"/>
      <x:c r="B80" s="23"/>
      <x:c r="C80" s="8"/>
      <x:c r="D80" s="8" t="s">
        <x:v>10</x:v>
      </x:c>
      <x:c r="E80" s="9" t="str">
        <x:v>點擊「Save（儲存）」按鈕會將變更套用至現有任務並關閉對話框。</x:v>
      </x:c>
      <x:c r="F80" s="30"/>
      <x:c r="G80" s="9"/>
      <x:c r="H80" s="23"/>
      <x:c r="I80" s="8"/>
      <x:c r="J80" s="8"/>
      <x:c r="K80" s="24" t="n">
        <x:v>0.5</x:v>
      </x:c>
    </x:row>
    <x:row r="81" ht="23.850000381469727" hidden="0">
      <x:c r="A81" s="8"/>
      <x:c r="B81" s="23"/>
      <x:c r="C81" s="8"/>
      <x:c r="D81" s="8" t="s">
        <x:v>10</x:v>
      </x:c>
      <x:c r="E81" s="9" t="str">
        <x:v>點擊「Delete（刪除）」按鈕會刪除現有任務並關閉對話框。</x:v>
      </x:c>
      <x:c r="F81" s="30"/>
      <x:c r="G81" s="9"/>
      <x:c r="H81" s="23"/>
      <x:c r="I81" s="8"/>
      <x:c r="J81" s="8"/>
      <x:c r="K81" s="24" t="n">
        <x:v>0.25</x:v>
      </x:c>
    </x:row>
    <x:row r="82" ht="23.850000381469727" hidden="0">
      <x:c r="A82" s="8"/>
      <x:c r="B82" s="23"/>
      <x:c r="C82" s="8"/>
      <x:c r="D82" s="8" t="s">
        <x:v>10</x:v>
      </x:c>
      <x:c r="E82" s="32" t="str">
        <x:v>編輯重複任務時：「Repeating（重複）」選擇器與「Due Date（到期日）」日期選擇器必須停用。</x:v>
      </x:c>
      <x:c r="F82" s="30"/>
      <x:c r="G82" s="9"/>
      <x:c r="H82" s="23"/>
      <x:c r="I82" s="8"/>
      <x:c r="J82" s="8"/>
      <x:c r="K82" s="24" t="n">
        <x:v>0.1</x:v>
      </x:c>
    </x:row>
    <x:row r="83" ht="35.04999923706055" hidden="0">
      <x:c r="A83" s="8"/>
      <x:c r="B83" s="23"/>
      <x:c r="C83" s="8"/>
      <x:c r="D83" s="8" t="s">
        <x:v>10</x:v>
      </x:c>
      <x:c r="E83" s="32" t="str">
        <x:v>編輯重複任務時：點擊「Save（儲存）」按鈕後，必須更新本次及所有未來的發生項；過去的發生項不得受到影響。</x:v>
      </x:c>
      <x:c r="F83" s="30"/>
      <x:c r="G83" s="9"/>
      <x:c r="H83" s="23"/>
      <x:c r="I83" s="8"/>
      <x:c r="J83" s="8"/>
      <x:c r="K83" s="24" t="n">
        <x:v>0.5</x:v>
      </x:c>
    </x:row>
    <x:row r="84" ht="46.25" hidden="0">
      <x:c r="A84" s="8"/>
      <x:c r="B84" s="23"/>
      <x:c r="C84" s="8"/>
      <x:c r="D84" s="8" t="s">
        <x:v>10</x:v>
      </x:c>
      <x:c r="E84" s="32" t="str">
        <x:v>編輯重複任務時：點擊「Delete（刪除）」按鈕後，必須提示使用者選擇僅刪除目前這一次，或連同所有未來的發生項一併刪除；過去的發生項不得受到影響。</x:v>
      </x:c>
      <x:c r="F84" s="30"/>
      <x:c r="G84" s="9" t="str">
        <x:v>每個可正常運作的選項 0.50</x:v>
      </x:c>
      <x:c r="H84" s="23"/>
      <x:c r="I84" s="8"/>
      <x:c r="J84" s="8"/>
      <x:c r="K84" s="24" t="n">
        <x:v>1</x:v>
      </x:c>
    </x:row>
    <x:row r="85" ht="68.6500015258789" hidden="0">
      <x:c r="A85" s="6" t="str">
        <x:v>子準則
編號</x:v>
      </x:c>
      <x:c r="B85" s="6" t="str">
        <x:v>子準則
名稱或說明</x:v>
      </x:c>
      <x:c r="C85" s="6" t="str">
        <x:v>評分日</x:v>
      </x:c>
      <x:c r="D85" s="6" t="str">
        <x:v>評分項目
類型
M = 測量
J = 判斷</x:v>
      </x:c>
      <x:c r="E85" s="6" t="str">
        <x:v>評分項目－說明</x:v>
      </x:c>
      <x:c r="F85" s="6" t="str">
        <x:v>判斷分數</x:v>
      </x:c>
      <x:c r="G85" s="6" t="str">
        <x:v>額外評分項目說明（測量或判斷）
或
判斷分數說明（僅判斷）</x:v>
      </x:c>
      <x:c r="H85" s="6" t="str">
        <x:v>要求
（僅測量）</x:v>
      </x:c>
      <x:c r="I85" s="6" t="str">
        <x:v>WSOS 章節</x:v>
      </x:c>
      <x:c r="J85" s="6" t="str">
        <x:v>計算列
（僅匯出）</x:v>
      </x:c>
      <x:c r="K85" s="6" t="str">
        <x:v>最高
分數</x:v>
      </x:c>
      <x:c r="L85" s="27" t="str">
        <x:v>準則 B</x:v>
      </x:c>
      <x:c r="M85" s="28" t="str">
        <x:v>總
分</x:v>
      </x:c>
      <x:c r="N85" s="29" t="n">
        <x:f aca="0">SUM(K86:K92)</x:f>
        <x:v>0</x:v>
      </x:c>
    </x:row>
    <x:row r="86" ht="12.75" hidden="0">
      <x:c r="A86" s="8"/>
      <x:c r="B86" s="23"/>
      <x:c r="C86" s="8"/>
      <x:c r="D86" s="8"/>
      <x:c r="E86" s="23"/>
      <x:c r="F86" s="8"/>
      <x:c r="G86" s="23"/>
      <x:c r="H86" s="23"/>
      <x:c r="I86" s="8"/>
      <x:c r="J86" s="8"/>
      <x:c r="K86" s="24"/>
    </x:row>
    <x:row r="87" ht="12.75" hidden="0">
      <x:c r="A87" s="8"/>
      <x:c r="B87" s="23"/>
      <x:c r="C87" s="8"/>
      <x:c r="D87" s="8"/>
      <x:c r="E87" s="23"/>
      <x:c r="F87" s="8"/>
      <x:c r="G87" s="23"/>
      <x:c r="H87" s="23"/>
      <x:c r="I87" s="8"/>
      <x:c r="J87" s="8"/>
      <x:c r="K87" s="24"/>
    </x:row>
    <x:row r="88" ht="12.75" hidden="0">
      <x:c r="A88" s="8"/>
      <x:c r="B88" s="23"/>
      <x:c r="C88" s="8"/>
      <x:c r="D88" s="8"/>
      <x:c r="E88" s="23"/>
      <x:c r="F88" s="8"/>
      <x:c r="G88" s="23"/>
      <x:c r="H88" s="23"/>
      <x:c r="I88" s="8"/>
      <x:c r="J88" s="8"/>
      <x:c r="K88" s="24"/>
    </x:row>
    <x:row r="89" ht="12.75" hidden="0">
      <x:c r="A89" s="8"/>
      <x:c r="B89" s="23"/>
      <x:c r="C89" s="8"/>
      <x:c r="D89" s="8"/>
      <x:c r="E89" s="23"/>
      <x:c r="F89" s="8"/>
      <x:c r="G89" s="23"/>
      <x:c r="H89" s="23"/>
      <x:c r="I89" s="8"/>
      <x:c r="J89" s="8"/>
      <x:c r="K89" s="24"/>
    </x:row>
    <x:row r="90" ht="12.75" hidden="0">
      <x:c r="A90" s="8"/>
      <x:c r="B90" s="23"/>
      <x:c r="C90" s="8"/>
      <x:c r="D90" s="8"/>
      <x:c r="E90" s="23"/>
      <x:c r="F90" s="8"/>
      <x:c r="G90" s="23"/>
      <x:c r="H90" s="23"/>
      <x:c r="I90" s="8"/>
      <x:c r="J90" s="8"/>
      <x:c r="K90" s="24"/>
    </x:row>
    <x:row r="91" ht="12.75" hidden="0">
      <x:c r="A91" s="8"/>
      <x:c r="B91" s="23"/>
      <x:c r="C91" s="8"/>
      <x:c r="D91" s="8"/>
      <x:c r="E91" s="23"/>
      <x:c r="F91" s="8"/>
      <x:c r="G91" s="23"/>
      <x:c r="H91" s="23"/>
      <x:c r="I91" s="8"/>
      <x:c r="J91" s="8"/>
      <x:c r="K91" s="24"/>
    </x:row>
    <x:row r="92" ht="12.75" hidden="0">
      <x:c r="A92" s="8"/>
      <x:c r="B92" s="23"/>
      <x:c r="C92" s="8"/>
      <x:c r="D92" s="8"/>
      <x:c r="E92" s="23"/>
      <x:c r="F92" s="8"/>
      <x:c r="G92" s="23"/>
      <x:c r="H92" s="23"/>
      <x:c r="I92" s="8"/>
      <x:c r="J92" s="8"/>
      <x:c r="K92" s="24"/>
    </x:row>
    <x:row r="93" ht="68.6500015258789" hidden="0">
      <x:c r="A93" s="6" t="str">
        <x:v>子準則
編號</x:v>
      </x:c>
      <x:c r="B93" s="6" t="str">
        <x:v>子準則
名稱或說明</x:v>
      </x:c>
      <x:c r="C93" s="6" t="str">
        <x:v>評分日</x:v>
      </x:c>
      <x:c r="D93" s="6" t="str">
        <x:v>評分項目
類型
M = 測量
J = 判斷</x:v>
      </x:c>
      <x:c r="E93" s="6" t="str">
        <x:v>評分項目－說明</x:v>
      </x:c>
      <x:c r="F93" s="6" t="str">
        <x:v>判斷分數</x:v>
      </x:c>
      <x:c r="G93" s="6" t="str">
        <x:v>額外評分項目說明（測量或判斷）
或
判斷分數說明（僅判斷）</x:v>
      </x:c>
      <x:c r="H93" s="6" t="str">
        <x:v>要求
（僅測量）</x:v>
      </x:c>
      <x:c r="I93" s="6" t="str">
        <x:v>WSOS 章節</x:v>
      </x:c>
      <x:c r="J93" s="6" t="str">
        <x:v>計算列
（僅匯出）</x:v>
      </x:c>
      <x:c r="K93" s="6" t="str">
        <x:v>最高
分數</x:v>
      </x:c>
      <x:c r="L93" s="27" t="str">
        <x:v>準則 C</x:v>
      </x:c>
      <x:c r="M93" s="28" t="str">
        <x:v>總
分</x:v>
      </x:c>
      <x:c r="N93" s="29" t="n">
        <x:f aca="0">SUM(K94:K100)</x:f>
        <x:v>0</x:v>
      </x:c>
    </x:row>
    <x:row r="94" ht="12.75" hidden="0">
      <x:c r="A94" s="8"/>
      <x:c r="B94" s="23"/>
      <x:c r="C94" s="8"/>
      <x:c r="D94" s="8"/>
      <x:c r="E94" s="23"/>
      <x:c r="F94" s="8"/>
      <x:c r="G94" s="23"/>
      <x:c r="H94" s="23"/>
      <x:c r="I94" s="8"/>
      <x:c r="J94" s="8"/>
      <x:c r="K94" s="24"/>
    </x:row>
    <x:row r="95" ht="12.75" hidden="0">
      <x:c r="A95" s="8"/>
      <x:c r="B95" s="23"/>
      <x:c r="C95" s="8"/>
      <x:c r="D95" s="8"/>
      <x:c r="E95" s="23"/>
      <x:c r="F95" s="8"/>
      <x:c r="G95" s="23"/>
      <x:c r="H95" s="23"/>
      <x:c r="I95" s="8"/>
      <x:c r="J95" s="8"/>
      <x:c r="K95" s="24"/>
    </x:row>
    <x:row r="96" ht="12.75" hidden="0">
      <x:c r="A96" s="8"/>
      <x:c r="B96" s="23"/>
      <x:c r="C96" s="8"/>
      <x:c r="D96" s="8"/>
      <x:c r="E96" s="23"/>
      <x:c r="F96" s="8"/>
      <x:c r="G96" s="23"/>
      <x:c r="H96" s="23"/>
      <x:c r="I96" s="8"/>
      <x:c r="J96" s="8"/>
      <x:c r="K96" s="24"/>
    </x:row>
    <x:row r="97" ht="12.75" hidden="0">
      <x:c r="A97" s="8"/>
      <x:c r="B97" s="23"/>
      <x:c r="C97" s="8"/>
      <x:c r="D97" s="8"/>
      <x:c r="E97" s="23"/>
      <x:c r="F97" s="8"/>
      <x:c r="G97" s="23"/>
      <x:c r="H97" s="23"/>
      <x:c r="I97" s="8"/>
      <x:c r="J97" s="8"/>
      <x:c r="K97" s="24"/>
    </x:row>
    <x:row r="98" ht="12.75" hidden="0">
      <x:c r="A98" s="8"/>
      <x:c r="B98" s="23"/>
      <x:c r="C98" s="8"/>
      <x:c r="D98" s="8"/>
      <x:c r="E98" s="23"/>
      <x:c r="F98" s="8"/>
      <x:c r="G98" s="23"/>
      <x:c r="H98" s="23"/>
      <x:c r="I98" s="8"/>
      <x:c r="J98" s="8"/>
      <x:c r="K98" s="24"/>
    </x:row>
    <x:row r="99" ht="12.75" hidden="0">
      <x:c r="A99" s="8"/>
      <x:c r="B99" s="23"/>
      <x:c r="C99" s="8"/>
      <x:c r="D99" s="8"/>
      <x:c r="E99" s="23"/>
      <x:c r="F99" s="8"/>
      <x:c r="G99" s="23"/>
      <x:c r="H99" s="23"/>
      <x:c r="I99" s="8"/>
      <x:c r="J99" s="8"/>
      <x:c r="K99" s="24"/>
    </x:row>
    <x:row r="100" ht="12.75" hidden="0">
      <x:c r="A100" s="8"/>
      <x:c r="B100" s="23"/>
      <x:c r="C100" s="8"/>
      <x:c r="D100" s="8"/>
      <x:c r="E100" s="23"/>
      <x:c r="F100" s="8"/>
      <x:c r="G100" s="23"/>
      <x:c r="H100" s="23"/>
      <x:c r="I100" s="8"/>
      <x:c r="J100" s="8"/>
      <x:c r="K100" s="24"/>
    </x:row>
    <x:row r="101" ht="68.6500015258789" hidden="0">
      <x:c r="A101" s="6" t="str">
        <x:v>子準則
編號</x:v>
      </x:c>
      <x:c r="B101" s="6" t="str">
        <x:v>子準則
名稱或說明</x:v>
      </x:c>
      <x:c r="C101" s="6" t="str">
        <x:v>評分日</x:v>
      </x:c>
      <x:c r="D101" s="6" t="str">
        <x:v>評分項目
類型
M = 測量
J = 判斷</x:v>
      </x:c>
      <x:c r="E101" s="6" t="str">
        <x:v>評分項目－說明</x:v>
      </x:c>
      <x:c r="F101" s="6" t="str">
        <x:v>判斷分數</x:v>
      </x:c>
      <x:c r="G101" s="6" t="str">
        <x:v>額外評分項目說明（測量或判斷）
或
判斷分數說明（僅判斷）</x:v>
      </x:c>
      <x:c r="H101" s="6" t="str">
        <x:v>要求
（僅測量）</x:v>
      </x:c>
      <x:c r="I101" s="6" t="str">
        <x:v>WSOS 章節</x:v>
      </x:c>
      <x:c r="J101" s="6" t="str">
        <x:v>計算列
（僅匯出）</x:v>
      </x:c>
      <x:c r="K101" s="6" t="str">
        <x:v>最高
分數</x:v>
      </x:c>
      <x:c r="L101" s="27" t="str">
        <x:v>準則 D</x:v>
      </x:c>
      <x:c r="M101" s="28" t="str">
        <x:v>總
分</x:v>
      </x:c>
      <x:c r="N101" s="29" t="n">
        <x:f aca="0">SUM(K102:K108)</x:f>
        <x:v>0</x:v>
      </x:c>
    </x:row>
    <x:row r="102" ht="12.75" hidden="0">
      <x:c r="A102" s="8"/>
      <x:c r="B102" s="23"/>
      <x:c r="C102" s="8"/>
      <x:c r="D102" s="8"/>
      <x:c r="E102" s="23"/>
      <x:c r="F102" s="8"/>
      <x:c r="G102" s="23"/>
      <x:c r="H102" s="23"/>
      <x:c r="I102" s="8"/>
      <x:c r="J102" s="8"/>
      <x:c r="K102" s="24"/>
    </x:row>
    <x:row r="103" ht="12.75" hidden="0">
      <x:c r="A103" s="8"/>
      <x:c r="B103" s="23"/>
      <x:c r="C103" s="8"/>
      <x:c r="D103" s="8"/>
      <x:c r="E103" s="23"/>
      <x:c r="F103" s="8"/>
      <x:c r="G103" s="23"/>
      <x:c r="H103" s="23"/>
      <x:c r="I103" s="8"/>
      <x:c r="J103" s="8"/>
      <x:c r="K103" s="24"/>
    </x:row>
    <x:row r="104" ht="12.75" hidden="0">
      <x:c r="A104" s="8"/>
      <x:c r="B104" s="23"/>
      <x:c r="C104" s="8"/>
      <x:c r="D104" s="8"/>
      <x:c r="E104" s="23"/>
      <x:c r="F104" s="8"/>
      <x:c r="G104" s="23"/>
      <x:c r="H104" s="23"/>
      <x:c r="I104" s="8"/>
      <x:c r="J104" s="8"/>
      <x:c r="K104" s="24"/>
    </x:row>
    <x:row r="105" ht="12.75" hidden="0">
      <x:c r="A105" s="8"/>
      <x:c r="B105" s="23"/>
      <x:c r="C105" s="8"/>
      <x:c r="D105" s="8"/>
      <x:c r="E105" s="23"/>
      <x:c r="F105" s="8"/>
      <x:c r="G105" s="23"/>
      <x:c r="H105" s="23"/>
      <x:c r="I105" s="8"/>
      <x:c r="J105" s="8"/>
      <x:c r="K105" s="24"/>
    </x:row>
    <x:row r="106" ht="12.75" hidden="0">
      <x:c r="A106" s="8"/>
      <x:c r="B106" s="23"/>
      <x:c r="C106" s="8"/>
      <x:c r="D106" s="8"/>
      <x:c r="E106" s="23"/>
      <x:c r="F106" s="8"/>
      <x:c r="G106" s="23"/>
      <x:c r="H106" s="23"/>
      <x:c r="I106" s="8"/>
      <x:c r="J106" s="8"/>
      <x:c r="K106" s="24"/>
    </x:row>
    <x:row r="107" ht="12.75" hidden="0">
      <x:c r="A107" s="8"/>
      <x:c r="B107" s="23"/>
      <x:c r="C107" s="8"/>
      <x:c r="D107" s="8"/>
      <x:c r="E107" s="23"/>
      <x:c r="F107" s="8"/>
      <x:c r="G107" s="23"/>
      <x:c r="H107" s="23"/>
      <x:c r="I107" s="8"/>
      <x:c r="J107" s="8"/>
      <x:c r="K107" s="24"/>
    </x:row>
    <x:row r="108" ht="12.75" hidden="0">
      <x:c r="A108" s="8"/>
      <x:c r="B108" s="23"/>
      <x:c r="C108" s="8"/>
      <x:c r="D108" s="8"/>
      <x:c r="E108" s="23"/>
      <x:c r="F108" s="8"/>
      <x:c r="G108" s="23"/>
      <x:c r="H108" s="23"/>
      <x:c r="I108" s="8"/>
      <x:c r="J108" s="8"/>
      <x:c r="K108" s="24"/>
    </x:row>
    <x:row r="109" ht="68.6500015258789" hidden="0">
      <x:c r="A109" s="6" t="str">
        <x:v>子準則
編號</x:v>
      </x:c>
      <x:c r="B109" s="6" t="str">
        <x:v>子準則
名稱或說明</x:v>
      </x:c>
      <x:c r="C109" s="6" t="str">
        <x:v>評分日</x:v>
      </x:c>
      <x:c r="D109" s="6" t="str">
        <x:v>評分項目
類型
M = 測量
J = 判斷</x:v>
      </x:c>
      <x:c r="E109" s="6" t="str">
        <x:v>評分項目－說明</x:v>
      </x:c>
      <x:c r="F109" s="6" t="str">
        <x:v>判斷分數</x:v>
      </x:c>
      <x:c r="G109" s="6" t="str">
        <x:v>額外評分項目說明（測量或判斷）
或
判斷分數說明（僅判斷）</x:v>
      </x:c>
      <x:c r="H109" s="6" t="str">
        <x:v>要求
（僅測量）</x:v>
      </x:c>
      <x:c r="I109" s="6" t="str">
        <x:v>WSOS 章節</x:v>
      </x:c>
      <x:c r="J109" s="6" t="str">
        <x:v>計算列
（僅匯出）</x:v>
      </x:c>
      <x:c r="K109" s="6" t="str">
        <x:v>最高
分數</x:v>
      </x:c>
      <x:c r="L109" s="27" t="str">
        <x:v>準則 E</x:v>
      </x:c>
      <x:c r="M109" s="28" t="str">
        <x:v>總
分</x:v>
      </x:c>
      <x:c r="N109" s="29" t="n">
        <x:f aca="0">SUM(K110:K116)</x:f>
        <x:v>0</x:v>
      </x:c>
    </x:row>
    <x:row r="110" ht="12.75" hidden="0">
      <x:c r="A110" s="8"/>
      <x:c r="B110" s="23"/>
      <x:c r="C110" s="8"/>
      <x:c r="D110" s="8"/>
      <x:c r="E110" s="23"/>
      <x:c r="F110" s="8"/>
      <x:c r="G110" s="23"/>
      <x:c r="H110" s="23"/>
      <x:c r="I110" s="8"/>
      <x:c r="J110" s="8"/>
      <x:c r="K110" s="24"/>
    </x:row>
    <x:row r="111" ht="12.75" hidden="0">
      <x:c r="A111" s="8"/>
      <x:c r="B111" s="23"/>
      <x:c r="C111" s="8"/>
      <x:c r="D111" s="8"/>
      <x:c r="E111" s="23"/>
      <x:c r="F111" s="8"/>
      <x:c r="G111" s="23"/>
      <x:c r="H111" s="23"/>
      <x:c r="I111" s="8"/>
      <x:c r="J111" s="8"/>
      <x:c r="K111" s="24"/>
    </x:row>
    <x:row r="112" ht="12.75" hidden="0">
      <x:c r="A112" s="8"/>
      <x:c r="B112" s="23"/>
      <x:c r="C112" s="8"/>
      <x:c r="D112" s="8"/>
      <x:c r="E112" s="23"/>
      <x:c r="F112" s="8"/>
      <x:c r="G112" s="23"/>
      <x:c r="H112" s="23"/>
      <x:c r="I112" s="8"/>
      <x:c r="J112" s="8"/>
      <x:c r="K112" s="24"/>
    </x:row>
    <x:row r="113" ht="12.75" hidden="0">
      <x:c r="A113" s="8"/>
      <x:c r="B113" s="23"/>
      <x:c r="C113" s="8"/>
      <x:c r="D113" s="8"/>
      <x:c r="E113" s="23"/>
      <x:c r="F113" s="8"/>
      <x:c r="G113" s="23"/>
      <x:c r="H113" s="23"/>
      <x:c r="I113" s="8"/>
      <x:c r="J113" s="8"/>
      <x:c r="K113" s="24"/>
    </x:row>
    <x:row r="114" ht="12.75" hidden="0">
      <x:c r="A114" s="8"/>
      <x:c r="B114" s="23"/>
      <x:c r="C114" s="8"/>
      <x:c r="D114" s="8"/>
      <x:c r="E114" s="23"/>
      <x:c r="F114" s="8"/>
      <x:c r="G114" s="23"/>
      <x:c r="H114" s="23"/>
      <x:c r="I114" s="8"/>
      <x:c r="J114" s="8"/>
      <x:c r="K114" s="24"/>
    </x:row>
    <x:row r="115" ht="12.75" hidden="0">
      <x:c r="A115" s="8"/>
      <x:c r="B115" s="23"/>
      <x:c r="C115" s="8"/>
      <x:c r="D115" s="8"/>
      <x:c r="E115" s="23"/>
      <x:c r="F115" s="8"/>
      <x:c r="G115" s="23"/>
      <x:c r="H115" s="23"/>
      <x:c r="I115" s="8"/>
      <x:c r="J115" s="8"/>
      <x:c r="K115" s="24"/>
    </x:row>
    <x:row r="116" ht="12.75" hidden="0">
      <x:c r="A116" s="8"/>
      <x:c r="B116" s="23"/>
      <x:c r="C116" s="8"/>
      <x:c r="D116" s="8"/>
      <x:c r="E116" s="23"/>
      <x:c r="F116" s="8"/>
      <x:c r="G116" s="23"/>
      <x:c r="H116" s="23"/>
      <x:c r="I116" s="8"/>
      <x:c r="J116" s="8"/>
      <x:c r="K116" s="24"/>
    </x:row>
    <x:row r="117" ht="68.6500015258789" hidden="0">
      <x:c r="A117" s="6" t="str">
        <x:v>子準則
編號</x:v>
      </x:c>
      <x:c r="B117" s="6" t="str">
        <x:v>子準則
名稱或說明</x:v>
      </x:c>
      <x:c r="C117" s="6" t="str">
        <x:v>評分日</x:v>
      </x:c>
      <x:c r="D117" s="6" t="str">
        <x:v>評分項目
類型
M = 測量
J = 判斷</x:v>
      </x:c>
      <x:c r="E117" s="6" t="str">
        <x:v>評分項目－說明</x:v>
      </x:c>
      <x:c r="F117" s="6" t="str">
        <x:v>判斷分數</x:v>
      </x:c>
      <x:c r="G117" s="6" t="str">
        <x:v>額外評分項目說明（測量或判斷）
或
判斷分數說明（僅判斷）</x:v>
      </x:c>
      <x:c r="H117" s="6" t="str">
        <x:v>要求
（僅測量）</x:v>
      </x:c>
      <x:c r="I117" s="6" t="str">
        <x:v>WSOS 章節</x:v>
      </x:c>
      <x:c r="J117" s="6" t="str">
        <x:v>計算列
（僅匯出）</x:v>
      </x:c>
      <x:c r="K117" s="6" t="str">
        <x:v>最高
分數</x:v>
      </x:c>
      <x:c r="L117" s="27" t="str">
        <x:v>準則 F</x:v>
      </x:c>
      <x:c r="M117" s="28" t="str">
        <x:v>總
分</x:v>
      </x:c>
      <x:c r="N117" s="29" t="n">
        <x:f aca="0">SUM(K118:K122)</x:f>
        <x:v>0</x:v>
      </x:c>
    </x:row>
    <x:row r="118" ht="12.75" hidden="0">
      <x:c r="A118" s="8"/>
      <x:c r="B118" s="23"/>
      <x:c r="C118" s="8"/>
      <x:c r="D118" s="8"/>
      <x:c r="E118" s="23"/>
      <x:c r="F118" s="8"/>
      <x:c r="G118" s="23"/>
      <x:c r="H118" s="23"/>
      <x:c r="I118" s="8"/>
      <x:c r="J118" s="8"/>
      <x:c r="K118" s="24"/>
    </x:row>
    <x:row r="119" ht="12.75" hidden="0">
      <x:c r="A119" s="8"/>
      <x:c r="B119" s="23"/>
      <x:c r="C119" s="8"/>
      <x:c r="D119" s="8"/>
      <x:c r="E119" s="23"/>
      <x:c r="F119" s="8"/>
      <x:c r="G119" s="23"/>
      <x:c r="H119" s="23"/>
      <x:c r="I119" s="8"/>
      <x:c r="J119" s="8"/>
      <x:c r="K119" s="24"/>
    </x:row>
    <x:row r="120" ht="12.75" hidden="0">
      <x:c r="A120" s="8"/>
      <x:c r="B120" s="23"/>
      <x:c r="C120" s="8"/>
      <x:c r="D120" s="8"/>
      <x:c r="E120" s="23"/>
      <x:c r="F120" s="8"/>
      <x:c r="G120" s="23"/>
      <x:c r="H120" s="23"/>
      <x:c r="I120" s="8"/>
      <x:c r="J120" s="8"/>
      <x:c r="K120" s="24"/>
    </x:row>
    <x:row r="121" ht="12.75" hidden="0">
      <x:c r="A121" s="8"/>
      <x:c r="B121" s="23"/>
      <x:c r="C121" s="8"/>
      <x:c r="D121" s="8"/>
      <x:c r="E121" s="23"/>
      <x:c r="F121" s="8"/>
      <x:c r="G121" s="23"/>
      <x:c r="H121" s="23"/>
      <x:c r="I121" s="8"/>
      <x:c r="J121" s="8"/>
      <x:c r="K121" s="24"/>
    </x:row>
    <x:row r="122" ht="12.75" hidden="0">
      <x:c r="A122" s="8"/>
      <x:c r="B122" s="23"/>
      <x:c r="C122" s="8"/>
      <x:c r="D122" s="8"/>
      <x:c r="E122" s="23"/>
      <x:c r="F122" s="8"/>
      <x:c r="G122" s="23"/>
      <x:c r="H122" s="23"/>
      <x:c r="I122" s="8"/>
      <x:c r="J122" s="8"/>
      <x:c r="K122" s="24"/>
    </x:row>
    <x:row r="123" ht="68.6500015258789" hidden="0">
      <x:c r="A123" s="6" t="str">
        <x:v>子準則
編號</x:v>
      </x:c>
      <x:c r="B123" s="6" t="str">
        <x:v>子準則
名稱或說明</x:v>
      </x:c>
      <x:c r="C123" s="6" t="str">
        <x:v>評分日</x:v>
      </x:c>
      <x:c r="D123" s="6" t="str">
        <x:v>評分項目
類型
M = 測量
J = 判斷</x:v>
      </x:c>
      <x:c r="E123" s="6" t="str">
        <x:v>評分項目－說明</x:v>
      </x:c>
      <x:c r="F123" s="6" t="str">
        <x:v>判斷分數</x:v>
      </x:c>
      <x:c r="G123" s="6" t="str">
        <x:v>額外評分項目說明（測量或判斷）
或
判斷分數說明（僅判斷）</x:v>
      </x:c>
      <x:c r="H123" s="6" t="str">
        <x:v>要求
（僅測量）</x:v>
      </x:c>
      <x:c r="I123" s="6" t="str">
        <x:v>WSOS 章節</x:v>
      </x:c>
      <x:c r="J123" s="6" t="str">
        <x:v>計算列
（僅匯出）</x:v>
      </x:c>
      <x:c r="K123" s="6" t="str">
        <x:v>最高
分數</x:v>
      </x:c>
      <x:c r="L123" s="27" t="str">
        <x:v>準則 G</x:v>
      </x:c>
      <x:c r="M123" s="28" t="str">
        <x:v>總
分</x:v>
      </x:c>
      <x:c r="N123" s="29" t="n">
        <x:f aca="0">SUM(K124:K130)</x:f>
        <x:v>0</x:v>
      </x:c>
    </x:row>
    <x:row r="124" ht="12.75" hidden="0">
      <x:c r="A124" s="8"/>
      <x:c r="B124" s="23"/>
      <x:c r="C124" s="8"/>
      <x:c r="D124" s="8"/>
      <x:c r="E124" s="23"/>
      <x:c r="F124" s="8"/>
      <x:c r="G124" s="23"/>
      <x:c r="H124" s="23"/>
      <x:c r="I124" s="8"/>
      <x:c r="J124" s="8"/>
      <x:c r="K124" s="24"/>
    </x:row>
    <x:row r="125" ht="12.75" hidden="0">
      <x:c r="A125" s="8"/>
      <x:c r="B125" s="23"/>
      <x:c r="C125" s="8"/>
      <x:c r="D125" s="8"/>
      <x:c r="E125" s="23"/>
      <x:c r="F125" s="8"/>
      <x:c r="G125" s="23"/>
      <x:c r="H125" s="23"/>
      <x:c r="I125" s="8"/>
      <x:c r="J125" s="8"/>
      <x:c r="K125" s="24"/>
    </x:row>
    <x:row r="126" ht="12.75" hidden="0">
      <x:c r="A126" s="8"/>
      <x:c r="B126" s="23"/>
      <x:c r="C126" s="8"/>
      <x:c r="D126" s="8"/>
      <x:c r="E126" s="23"/>
      <x:c r="F126" s="8"/>
      <x:c r="G126" s="23"/>
      <x:c r="H126" s="23"/>
      <x:c r="I126" s="8"/>
      <x:c r="J126" s="8"/>
      <x:c r="K126" s="24"/>
    </x:row>
    <x:row r="127" ht="12.75" hidden="0">
      <x:c r="A127" s="8"/>
      <x:c r="B127" s="23"/>
      <x:c r="C127" s="8"/>
      <x:c r="D127" s="8"/>
      <x:c r="E127" s="23"/>
      <x:c r="F127" s="8"/>
      <x:c r="G127" s="23"/>
      <x:c r="H127" s="23"/>
      <x:c r="I127" s="8"/>
      <x:c r="J127" s="8"/>
      <x:c r="K127" s="24"/>
    </x:row>
    <x:row r="128" ht="12.75" hidden="0">
      <x:c r="A128" s="8"/>
      <x:c r="B128" s="23"/>
      <x:c r="C128" s="8"/>
      <x:c r="D128" s="8"/>
      <x:c r="E128" s="23"/>
      <x:c r="F128" s="8"/>
      <x:c r="G128" s="23"/>
      <x:c r="H128" s="23"/>
      <x:c r="I128" s="8"/>
      <x:c r="J128" s="8"/>
      <x:c r="K128" s="24"/>
    </x:row>
    <x:row r="129" ht="12.75" hidden="0">
      <x:c r="A129" s="8"/>
      <x:c r="B129" s="23"/>
      <x:c r="C129" s="8"/>
      <x:c r="D129" s="8"/>
      <x:c r="E129" s="23"/>
      <x:c r="F129" s="8"/>
      <x:c r="G129" s="23"/>
      <x:c r="H129" s="23"/>
      <x:c r="I129" s="8"/>
      <x:c r="J129" s="8"/>
      <x:c r="K129" s="24"/>
    </x:row>
    <x:row r="130" ht="12.75" hidden="0">
      <x:c r="A130" s="8"/>
      <x:c r="B130" s="23"/>
      <x:c r="C130" s="8"/>
      <x:c r="D130" s="8"/>
      <x:c r="E130" s="23"/>
      <x:c r="F130" s="8"/>
      <x:c r="G130" s="23"/>
      <x:c r="H130" s="23"/>
      <x:c r="I130" s="8"/>
      <x:c r="J130" s="8"/>
      <x:c r="K130" s="24"/>
    </x:row>
    <x:row r="131" ht="68.6500015258789" hidden="0">
      <x:c r="A131" s="6" t="str">
        <x:v>子準則
編號</x:v>
      </x:c>
      <x:c r="B131" s="6" t="str">
        <x:v>子準則
名稱或說明</x:v>
      </x:c>
      <x:c r="C131" s="6" t="str">
        <x:v>評分日</x:v>
      </x:c>
      <x:c r="D131" s="6" t="str">
        <x:v>評分項目
類型
M = 測量
J = 判斷</x:v>
      </x:c>
      <x:c r="E131" s="6" t="str">
        <x:v>評分項目－說明</x:v>
      </x:c>
      <x:c r="F131" s="6" t="str">
        <x:v>判斷分數</x:v>
      </x:c>
      <x:c r="G131" s="6" t="str">
        <x:v>額外評分項目說明（測量或判斷）
或
判斷分數說明（僅判斷）</x:v>
      </x:c>
      <x:c r="H131" s="6" t="str">
        <x:v>要求
（僅測量）</x:v>
      </x:c>
      <x:c r="I131" s="6" t="str">
        <x:v>WSOS 章節</x:v>
      </x:c>
      <x:c r="J131" s="6" t="str">
        <x:v>計算列
（僅匯出）</x:v>
      </x:c>
      <x:c r="K131" s="6" t="str">
        <x:v>最高
分數</x:v>
      </x:c>
      <x:c r="L131" s="27" t="str">
        <x:v>準則 H</x:v>
      </x:c>
      <x:c r="M131" s="28" t="str">
        <x:v>總
分</x:v>
      </x:c>
      <x:c r="N131" s="29" t="n">
        <x:f aca="0">SUM(K132:K138)</x:f>
        <x:v>0</x:v>
      </x:c>
    </x:row>
    <x:row r="132" ht="12.75" hidden="0">
      <x:c r="A132" s="8"/>
      <x:c r="B132" s="23"/>
      <x:c r="C132" s="8"/>
      <x:c r="D132" s="8"/>
      <x:c r="E132" s="23"/>
      <x:c r="F132" s="8"/>
      <x:c r="G132" s="23"/>
      <x:c r="H132" s="23"/>
      <x:c r="I132" s="8"/>
      <x:c r="J132" s="8"/>
      <x:c r="K132" s="24"/>
    </x:row>
    <x:row r="133" ht="12.75" hidden="0">
      <x:c r="A133" s="8"/>
      <x:c r="B133" s="23"/>
      <x:c r="C133" s="8"/>
      <x:c r="D133" s="8"/>
      <x:c r="E133" s="23"/>
      <x:c r="F133" s="8"/>
      <x:c r="G133" s="23"/>
      <x:c r="H133" s="23"/>
      <x:c r="I133" s="8"/>
      <x:c r="J133" s="8"/>
      <x:c r="K133" s="24"/>
    </x:row>
    <x:row r="134" ht="12.75" hidden="0">
      <x:c r="A134" s="8"/>
      <x:c r="B134" s="23"/>
      <x:c r="C134" s="8"/>
      <x:c r="D134" s="8"/>
      <x:c r="E134" s="23"/>
      <x:c r="F134" s="8"/>
      <x:c r="G134" s="23"/>
      <x:c r="H134" s="23"/>
      <x:c r="I134" s="8"/>
      <x:c r="J134" s="8"/>
      <x:c r="K134" s="24"/>
    </x:row>
    <x:row r="135" ht="12.75" hidden="0">
      <x:c r="A135" s="8"/>
      <x:c r="B135" s="23"/>
      <x:c r="C135" s="8"/>
      <x:c r="D135" s="8"/>
      <x:c r="E135" s="23"/>
      <x:c r="F135" s="8"/>
      <x:c r="G135" s="23"/>
      <x:c r="H135" s="23"/>
      <x:c r="I135" s="8"/>
      <x:c r="J135" s="8"/>
      <x:c r="K135" s="24"/>
    </x:row>
    <x:row r="136" ht="12.75" hidden="0">
      <x:c r="A136" s="8"/>
      <x:c r="B136" s="23"/>
      <x:c r="C136" s="8"/>
      <x:c r="D136" s="8"/>
      <x:c r="E136" s="23"/>
      <x:c r="F136" s="8"/>
      <x:c r="G136" s="23"/>
      <x:c r="H136" s="23"/>
      <x:c r="I136" s="8"/>
      <x:c r="J136" s="8"/>
      <x:c r="K136" s="24"/>
    </x:row>
    <x:row r="137" ht="12.75" hidden="0">
      <x:c r="A137" s="8"/>
      <x:c r="B137" s="23"/>
      <x:c r="C137" s="8"/>
      <x:c r="D137" s="8"/>
      <x:c r="E137" s="23"/>
      <x:c r="F137" s="8"/>
      <x:c r="G137" s="23"/>
      <x:c r="H137" s="23"/>
      <x:c r="I137" s="8"/>
      <x:c r="J137" s="8"/>
      <x:c r="K137" s="24"/>
    </x:row>
    <x:row r="138" ht="12.75" hidden="0">
      <x:c r="A138" s="8"/>
      <x:c r="B138" s="23"/>
      <x:c r="C138" s="8"/>
      <x:c r="D138" s="8"/>
      <x:c r="E138" s="23"/>
      <x:c r="F138" s="8"/>
      <x:c r="G138" s="23"/>
      <x:c r="H138" s="23"/>
      <x:c r="I138" s="8"/>
      <x:c r="J138" s="8"/>
      <x:c r="K138" s="24"/>
    </x:row>
    <x:row r="139" ht="68.6500015258789" hidden="0">
      <x:c r="A139" s="6" t="str">
        <x:v>子準則
編號</x:v>
      </x:c>
      <x:c r="B139" s="6" t="str">
        <x:v>子準則
名稱或說明</x:v>
      </x:c>
      <x:c r="C139" s="6" t="str">
        <x:v>評分日</x:v>
      </x:c>
      <x:c r="D139" s="6" t="str">
        <x:v>評分項目
類型
M = 測量
J = 判斷</x:v>
      </x:c>
      <x:c r="E139" s="6" t="str">
        <x:v>評分項目－說明</x:v>
      </x:c>
      <x:c r="F139" s="6" t="str">
        <x:v>判斷分數</x:v>
      </x:c>
      <x:c r="G139" s="6" t="str">
        <x:v>額外評分項目說明（測量或判斷）
或
判斷分數說明（僅判斷）</x:v>
      </x:c>
      <x:c r="H139" s="6" t="str">
        <x:v>要求
（僅測量）</x:v>
      </x:c>
      <x:c r="I139" s="6" t="str">
        <x:v>WSOS 章節</x:v>
      </x:c>
      <x:c r="J139" s="6" t="str">
        <x:v>計算列
（僅匯出）</x:v>
      </x:c>
      <x:c r="K139" s="6" t="str">
        <x:v>最高
分數</x:v>
      </x:c>
      <x:c r="L139" s="27" t="str">
        <x:v>準則 I</x:v>
      </x:c>
      <x:c r="M139" s="28" t="str">
        <x:v>總
分</x:v>
      </x:c>
      <x:c r="N139" s="29" t="n">
        <x:f aca="0">SUM(K140:K146)</x:f>
        <x:v>0</x:v>
      </x:c>
    </x:row>
    <x:row r="140" ht="12.75" hidden="0">
      <x:c r="A140" s="8"/>
      <x:c r="B140" s="23"/>
      <x:c r="C140" s="8"/>
      <x:c r="D140" s="8"/>
      <x:c r="E140" s="23"/>
      <x:c r="F140" s="8"/>
      <x:c r="G140" s="23"/>
      <x:c r="H140" s="23"/>
      <x:c r="I140" s="8"/>
      <x:c r="J140" s="8"/>
      <x:c r="K140" s="24"/>
    </x:row>
    <x:row r="141" ht="12.75" hidden="0">
      <x:c r="A141" s="13"/>
      <x:c r="B141" s="23"/>
      <x:c r="C141" s="13"/>
      <x:c r="D141" s="13"/>
      <x:c r="E141" s="23"/>
      <x:c r="F141" s="13"/>
      <x:c r="G141" s="23"/>
      <x:c r="H141" s="23"/>
      <x:c r="I141" s="13"/>
      <x:c r="J141" s="13"/>
      <x:c r="K141" s="24"/>
    </x:row>
    <x:row r="142" ht="12.75" hidden="0">
      <x:c r="A142" s="13"/>
      <x:c r="B142" s="23"/>
      <x:c r="C142" s="13"/>
      <x:c r="D142" s="13"/>
      <x:c r="E142" s="23"/>
      <x:c r="F142" s="13"/>
      <x:c r="G142" s="23"/>
      <x:c r="H142" s="23"/>
      <x:c r="I142" s="13"/>
      <x:c r="J142" s="13"/>
      <x:c r="K142" s="24"/>
    </x:row>
    <x:row r="143" ht="12.75" hidden="0">
      <x:c r="A143" s="13"/>
      <x:c r="B143" s="23"/>
      <x:c r="C143" s="13"/>
      <x:c r="D143" s="13"/>
      <x:c r="E143" s="23"/>
      <x:c r="F143" s="13"/>
      <x:c r="G143" s="23"/>
      <x:c r="H143" s="23"/>
      <x:c r="I143" s="13"/>
      <x:c r="J143" s="13"/>
      <x:c r="K143" s="24"/>
    </x:row>
    <x:row r="144" ht="12.75" hidden="0">
      <x:c r="A144" s="13"/>
      <x:c r="B144" s="23"/>
      <x:c r="C144" s="13"/>
      <x:c r="D144" s="13"/>
      <x:c r="E144" s="23"/>
      <x:c r="F144" s="13"/>
      <x:c r="G144" s="23"/>
      <x:c r="H144" s="23"/>
      <x:c r="I144" s="13"/>
      <x:c r="J144" s="13"/>
      <x:c r="K144" s="24"/>
    </x:row>
    <x:row r="145" ht="12.75" hidden="0">
      <x:c r="A145" s="13"/>
      <x:c r="B145" s="23"/>
      <x:c r="C145" s="13"/>
      <x:c r="D145" s="13"/>
      <x:c r="E145" s="23"/>
      <x:c r="F145" s="13"/>
      <x:c r="G145" s="23"/>
      <x:c r="H145" s="23"/>
      <x:c r="I145" s="13"/>
      <x:c r="J145" s="13"/>
      <x:c r="K145" s="24"/>
    </x:row>
    <x:row r="146" ht="12.75" hidden="0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</x:row>
    <x:row r="149" ht="35.79999923706055" hidden="0">
      <x:c r="L149" s="27" t="str">
        <x:v>競賽</x:v>
      </x:c>
      <x:c r="M149" s="28" t="str">
        <x:v>總
分</x:v>
      </x:c>
      <x:c r="N149" s="29" t="n">
        <x:f aca="0">SUM(N1:N147)</x:f>
        <x:v>25.000000000000004</x:v>
      </x:c>
    </x:row>
    <x:row r="1048496" ht="12.800000190734863" hidden="0"/>
    <x:row r="1048497" ht="12.800000190734863" hidden="0"/>
    <x:row r="1048498" ht="12.800000190734863" hidden="0"/>
    <x:row r="1048499" ht="12.800000190734863" hidden="0"/>
    <x:row r="1048500" ht="12.800000190734863" hidden="0"/>
    <x:row r="1048501" ht="12.800000190734863" hidden="0"/>
    <x:row r="1048502" ht="12.800000190734863" hidden="0"/>
    <x:row r="1048503" ht="12.800000190734863" hidden="0"/>
    <x:row r="1048504" ht="12.800000190734863" hidden="0"/>
    <x:row r="1048505" ht="12.800000190734863" hidden="0"/>
    <x:row r="1048506" ht="12.800000190734863" hidden="0"/>
    <x:row r="1048507" ht="12.800000190734863" hidden="0"/>
    <x:row r="1048508" ht="12.800000190734863" hidden="0"/>
    <x:row r="1048509" ht="12.800000190734863" hidden="0"/>
    <x:row r="1048510" ht="12.800000190734863" hidden="0"/>
    <x:row r="1048511" ht="12.800000190734863" hidden="0"/>
    <x:row r="1048512" ht="12.800000190734863" hidden="0"/>
    <x:row r="1048513" ht="12.800000190734863" hidden="0"/>
    <x:row r="1048514" ht="12.800000190734863" hidden="0"/>
    <x:row r="1048515" ht="12.800000190734863" hidden="0"/>
    <x:row r="1048516" ht="12.800000190734863" hidden="0"/>
    <x:row r="1048517" ht="12.800000190734863" hidden="0"/>
    <x:row r="1048518" ht="12.800000190734863" hidden="0"/>
    <x:row r="1048519" ht="12.800000190734863" hidden="0"/>
    <x:row r="1048520" ht="12.800000190734863" hidden="0"/>
    <x:row r="1048521" ht="12.800000190734863" hidden="0"/>
    <x:row r="1048522" ht="12.800000190734863" hidden="0"/>
    <x:row r="1048523" ht="12.800000190734863" hidden="0"/>
    <x:row r="1048524" ht="12.800000190734863" hidden="0"/>
    <x:row r="1048525" ht="12.800000190734863" hidden="0"/>
    <x:row r="1048526" ht="12.800000190734863" hidden="0"/>
    <x:row r="1048527" ht="12.800000190734863" hidden="0"/>
    <x:row r="1048528" ht="12.800000190734863" hidden="0"/>
    <x:row r="1048529" ht="12.800000190734863" hidden="0"/>
    <x:row r="1048530" ht="12.800000190734863" hidden="0"/>
    <x:row r="1048531" ht="12.800000190734863" hidden="0"/>
    <x:row r="1048532" ht="12.800000190734863" hidden="0"/>
    <x:row r="1048533" ht="12.800000190734863" hidden="0"/>
    <x:row r="1048534" ht="12.800000190734863" hidden="0"/>
    <x:row r="1048535" ht="12.800000190734863" hidden="0"/>
    <x:row r="1048536" ht="12.800000190734863" hidden="0"/>
    <x:row r="1048537" ht="12.800000190734863" hidden="0"/>
    <x:row r="1048538" ht="12.800000190734863" hidden="0"/>
    <x:row r="1048539" ht="12.800000190734863" hidden="0"/>
    <x:row r="1048540" ht="12.800000190734863" hidden="0"/>
    <x:row r="1048541" ht="12.800000190734863" hidden="0"/>
    <x:row r="1048542" ht="12.800000190734863" hidden="0"/>
    <x:row r="1048543" ht="12.800000190734863" hidden="0"/>
    <x:row r="1048544" ht="12.800000190734863" hidden="0"/>
    <x:row r="1048545" ht="12.800000190734863" hidden="0"/>
    <x:row r="1048546" ht="12.800000190734863" hidden="0"/>
    <x:row r="1048547" ht="12.800000190734863" hidden="0"/>
    <x:row r="1048548" ht="12.800000190734863" hidden="0"/>
    <x:row r="1048549" ht="12.800000190734863" hidden="0"/>
    <x:row r="1048550" ht="12.800000190734863" hidden="0"/>
    <x:row r="1048551" ht="12.800000190734863" hidden="0"/>
    <x:row r="1048552" ht="12.800000190734863" hidden="0"/>
    <x:row r="1048553" ht="12.800000190734863" hidden="0"/>
    <x:row r="1048554" ht="12.800000190734863" hidden="0"/>
    <x:row r="1048555" ht="12.800000190734863" hidden="0"/>
    <x:row r="1048556" ht="12.800000190734863" hidden="0"/>
    <x:row r="1048557" ht="12.800000190734863" hidden="0"/>
    <x:row r="1048558" ht="12.800000190734863" hidden="0"/>
    <x:row r="1048559" ht="12.800000190734863" hidden="0"/>
    <x:row r="1048560" ht="12.800000190734863" hidden="0"/>
    <x:row r="1048561" ht="12.800000190734863" hidden="0"/>
    <x:row r="1048562" ht="12.800000190734863" hidden="0"/>
    <x:row r="1048563" ht="12.800000190734863" hidden="0"/>
    <x:row r="1048564" ht="12.800000190734863" hidden="0"/>
    <x:row r="1048565" ht="12.800000190734863" hidden="0"/>
    <x:row r="1048566" ht="12.800000190734863" hidden="0"/>
    <x:row r="1048567" ht="12.800000190734863" hidden="0"/>
    <x:row r="1048568" ht="12.800000190734863" hidden="0"/>
    <x:row r="1048569" ht="12.800000190734863" hidden="0"/>
    <x:row r="1048570" ht="12.800000190734863" hidden="0"/>
    <x:row r="1048571" ht="12.800000190734863" hidden="0"/>
    <x:row r="1048572" ht="12.800000190734863" hidden="0"/>
    <x:row r="1048573" ht="12.800000190734863" hidden="0"/>
    <x:row r="1048574" ht="12.800000190734863" hidden="0"/>
    <x:row r="1048575" ht="12.800000190734863" hidden="0"/>
    <x:row r="1048576" ht="12.800000190734863" hidden="0"/>
  </x:sheetData>
  <x:mergeCells>
    <x:mergeCell ref="A1:K1"/>
    <x:mergeCell ref="A3:K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I13:J13"/>
    <x:mergeCell ref="A16:K16"/>
    <x:mergeCell ref="B17:J17"/>
    <x:mergeCell ref="B18:H18"/>
    <x:mergeCell ref="B19:J19"/>
    <x:mergeCell ref="B20:J20"/>
    <x:mergeCell ref="B21:J21"/>
    <x:mergeCell ref="B22:J22"/>
    <x:mergeCell ref="B23:J23"/>
    <x:mergeCell ref="B24:J24"/>
    <x:mergeCell ref="B25:J25"/>
    <x:mergeCell ref="B26:J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83203125" defaultRowHeight="12.75"/>
  <x:cols>
    <x:col min="1" max="1" width="21.329999923706055" style="1" hidden="0" customWidth="1"/>
    <x:col min="2" max="2" width="28.670000076293945" style="1" hidden="0" customWidth="1"/>
    <x:col min="3" max="3" width="7.159999847412109" style="1" hidden="0" customWidth="1"/>
    <x:col min="4" max="4" width="69.5" style="1" hidden="0" customWidth="1"/>
  </x:cols>
  <x:sheetData/>
  <x:pageMargins left="0.7" right="0.7" top="0.75" bottom="0.75" header="0.3" footer="0.3"/>
</x:worksheet>
</file>