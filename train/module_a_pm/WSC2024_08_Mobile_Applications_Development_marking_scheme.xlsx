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<sst xmlns="http://schemas.openxmlformats.org/spreadsheetml/2006/main" count="1822" uniqueCount="294">
  <si>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</si>
  <si>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</si>
  <si>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</si>
  <si>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</si>
  <si>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</si>
  <si>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</si>
  <si>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</si>
  <si>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</si>
  <si>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</si>
  <si>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</si>
  <si>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</si>
  <si>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</si>
  <si>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</si>
  <si>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</si>
  <si>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</si>
  <si>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</si>
  <si>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</si>
  <si>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</si>
  <si>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</si>
  <si>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</si>
  <si>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</si>
  <si>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</si>
  <si>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</si>
  <si>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</si>
  <si>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08 Mobile Applications Development</t>
  </si>
  <si>
    <t xml:space="preserve">Work organization and management  </t>
  </si>
  <si>
    <t xml:space="preserve">Communication and interpersonal skills  </t>
  </si>
  <si>
    <t xml:space="preserve">Sustainable Practice  </t>
  </si>
  <si>
    <t>Initial planning, design, and test framework</t>
  </si>
  <si>
    <t>Systems architecture planning</t>
  </si>
  <si>
    <t>Implementation and product development</t>
  </si>
  <si>
    <t>Final product tests, troubleshooting, and optimization</t>
  </si>
  <si>
    <t>A</t>
  </si>
  <si>
    <t>Functionality</t>
  </si>
  <si>
    <t>B</t>
  </si>
  <si>
    <t>Design</t>
  </si>
  <si>
    <t>C</t>
  </si>
  <si>
    <t>Implement</t>
  </si>
  <si>
    <t>D</t>
  </si>
  <si>
    <t>Development and Testing</t>
  </si>
  <si>
    <t>E</t>
  </si>
  <si>
    <t>F</t>
  </si>
  <si>
    <t>G</t>
  </si>
  <si>
    <t>H</t>
  </si>
  <si>
    <t>I</t>
  </si>
  <si>
    <t>A1</t>
  </si>
  <si>
    <t>Module A AM</t>
  </si>
  <si>
    <t/>
  </si>
  <si>
    <t>1</t>
  </si>
  <si>
    <t>M</t>
  </si>
  <si>
    <t>Instructions to the Competitor</t>
  </si>
  <si>
    <t>Push the project to the Git server promptly</t>
  </si>
  <si>
    <t>Save the project to a correct folder</t>
  </si>
  <si>
    <t>The naming of the App is correct</t>
  </si>
  <si>
    <t>General Demands</t>
  </si>
  <si>
    <t>1.The application should remain in portrait orientation;[0.10]
2.The application needs to display the application name "Go Skiing" in the operating system;[0.10]
3.The application needs to display an application icon in the operating system. You should use "go_skiing.png" in the material as the icon.[0.10]</t>
  </si>
  <si>
    <t>Home page Elements include</t>
  </si>
  <si>
    <t>Deduct 0.1 for each missing or incorrect element.</t>
  </si>
  <si>
    <t>Home page Functional requirements</t>
  </si>
  <si>
    <t>1.Click the "Setting" button to navigate to the Setting page;[0.10]
2.Click the "Start Game" button:
    a.If the player name input box is empty, a prompt box will pop up with the message "Invalid";[0.10]
    b.If a player name is entered, navigate to the Game page.[0.10]
3.Click the "Rankings" button to navigate to the Rankings page.[0.10]
4.Display the text "No Ranking" when there are no ranking records;[0.10]</t>
  </si>
  <si>
    <t>Game page Elements include</t>
  </si>
  <si>
    <t>Game page Functional requirements - 1</t>
  </si>
  <si>
    <t>1.When the game starts:
    a.The default number of coins is 10;[0.10]
    b.Mobile phone device vibrates;[0.20] 
    c.Backgrournd music "bgm.mp3" begins playing;[0.20]
    d.Screen recording of the entire game process is required.[0.30]
2.The white slope is at an inclined angle by default;[0.20]
3.Trees in the background:
    a.Continue moving left;[0.10]
    b.Create a seamless loop effect (where the end of the sequence transitions smoothly back to the beginning);[0.20]
    c.Swipe down any location on the screen to immediately accelerate and then slow down to the original speed.[0.20]</t>
  </si>
  <si>
    <t>Game page Functional requirements - 2</t>
  </si>
  <si>
    <t>4.The skier:
    a.Remains centered;[0.10]
    b.Clicking any position on the screen:
        (1)Makes the skier jump;[0.10]
        (2)Plays the sound effect "jump.wav".[0.10]
5.Clicking the pause button:
    a.The skier can not be operated;[0.10]
    b.Everything stops moving;[0.10]
    c.The pause button switches to the play button;[0.10]
    d.Background music stops.[0.10]</t>
  </si>
  <si>
    <t>Game page Functional requirements - 3</t>
  </si>
  <si>
    <t>6.Clicking the play button:
    a.The game continues;[0.10]  
    b.The play button switches to the pause button;[0.10]
    c.Background music resumes.[0.10]
7.The gyroscope control:
    a.When the device is tilted left,
        (1)The white slope's angle decreases;[0.20]
        (2)Everything moves slower;[0.20]
        (3)The volume of the background music decreases;[0.20]
        (4)This continues until the slope returns to a horizontal position (refer to wireframe: Angle Decreases status), and everything comes to a stop.[0.20]
    b.When the device is tilted to the right everything returns to normal.[0.20]
8.When swiping from left to right, a confirmation box with "The game is in progress. Are you sure to quit?" and options "Yes" and "No" pop up, and the game pauses:
    a.Select "Yes" to return to the Home page;[0.10]
    b.Select "No" to close the dialog box and continue the game.[0.10]
9.The player name is taken from the input entered on the Home page;[0.10]
10.The duration text increases by 1 every second;[0.10]</t>
  </si>
  <si>
    <t>2.Game page Functional requirements - 4</t>
  </si>
  <si>
    <t>11.When the skier hits an obstacle:
    a.The game plays the audio file "game_over.wav" from the media-files;[0.10]
    b.Mobile phone device vibrates;[0.30]
    c.Stop recording screen. The recorded video file needs to be stored in the system photo gallery;[0.40]
    d.A pop-up dialog appears, containing the following:
        (1)The text "Game Over";[0.05]
        (2)Correct player name;[0.05]
        (3)Correct number of coins;[0.05]
        (4)Correct duration;[0.05]
        (5)A "Restart" button to restart the game;[0.10]
        (6)A "Go To Rankings" button to navigate to the Rankings page.[0.10]
12.Long-pressing any location on the screen activates invincibility mode for the skier by consuming 1 coin, allowing it to ski invincibly for 1 second. During this mode:
    a.The skier's colorful jacket turns black;[0.10]
    b.The text "Invincibility Mode" displays on the screen;[0.10]
    c.The skier can pass through obstacles without any collision;[0.20]
    d.If you do not release your finger, 1 coin will continue to be consumed every second;[0.20]
    e.When the coins are depleted or you release your finger, the invincibility mode will be canceled.[0.20]</t>
  </si>
  <si>
    <t>Game page (Obstacle/Coin) Elements include</t>
  </si>
  <si>
    <t>Deduct 0.2 for each missing or incorrect element.</t>
  </si>
  <si>
    <t>Game page (Obstacle/Coin) Functional requirements - Generate elements</t>
  </si>
  <si>
    <t>1.Occasionally, an obstacle is generated, appearing from the right side of the screen and moving left until it exits the screen;[0.10]
2.Occasionally, coins are generated, appearing from the right side of the screen and moving left until they exit the screen;[0.10]
3.Coins cannot overlap with obstacles;[0.10]
4.Avoid obstacles by making the skier jump;[0.10]
5.When the skier collides with a coin, the coin disappears:
    a.Play the sound effect "coin.wav";[0.10]
    b.Increase the number of coins collected by one.[0.10]</t>
  </si>
  <si>
    <t>Rankings page Elements include</t>
  </si>
  <si>
    <t>Rankings page Functional requirements</t>
  </si>
  <si>
    <t>1.Arrange the records in descending order by the duration of gameplay;[0.10]
2.If entering this page from the game page, highlight the most recently ended game record;[0.10]
3.Persistently store ranking list data;[0.10]
4.Click the back button to navigate to Home page.[0.10]</t>
  </si>
  <si>
    <t>Setting page Elements include</t>
  </si>
  <si>
    <t>Setting page Functional requirements</t>
  </si>
  <si>
    <t>1.The color controller changes the color of the skier's jacket only;[0.30]
2.Click the "Done" button to navigate to Home page;[0.10]
3.The chosen color must be applied during the game.[0.30]</t>
  </si>
  <si>
    <t>J</t>
  </si>
  <si>
    <t>App Usability and User Experience</t>
  </si>
  <si>
    <t>The app is not functioning properly.</t>
  </si>
  <si>
    <t>The app interface is clear and concise, but there are missing functionalities in the pages and the operation process is incomplete.</t>
  </si>
  <si>
    <t>The app interface is clear and easy to identify, satisfying basic usage needs.</t>
  </si>
  <si>
    <t>The app interface is concise and intuitive, with smooth operation and running. New users can adapt immediately without additional learning.</t>
  </si>
  <si>
    <t>A2</t>
  </si>
  <si>
    <t>Module A PM</t>
  </si>
  <si>
    <t>1.The application needs to display an application icon in the operating system. The icon needs to use the "art_icon_la_tour_eiffel.png" in the material;[0.10]
2.The application must display the application name "My France" in the operating system;[0.10]
3.All of the pages should contain a navigation bar on the left;[0.10]
4.Application icon is on the navigation bar;[0.10]
5.Left navigation bar requirements[0.10]</t>
  </si>
  <si>
    <t>Home page Functional requirements - 1</t>
  </si>
  <si>
    <t>1.The travel diary data is fetched from the corresponding Web API;[0.20]
2.The travel diary list is displayed in a vertically scrollable waterfall layout (Staggered Grid) list, with content displayed correctly;[0.20]
3.By default, the right area displays an illustration of Paris landmarks, incorporating the images "art_icon_la_tour_eiffel.png" and "art_icon_la_tour_eiffel.png" from media-files;[0.20]
4.Clicking on a travel diary list item highlights the selected item and displays its details in the right area;[0.10]
5.Clicking the Close button closes the diary details and returns to the default status;[0.10]
6.The travel diary's main text (in JSON format) returned by the Web API contains image relative paths (e.g., "resources/Efil/2.jpg"). Please replace these image relative paths with displayable images;[0.40]
7.The publish date-time must be displayed in the specified format-- "Aug 24, 2024 12:05 AM";[0.20]</t>
  </si>
  <si>
    <t>Home page Functional requirements - 2</t>
  </si>
  <si>
    <t>8.Clicking the favorite button, if the user is not signed in, a prompt "Please sign in" pops up;[0.20]
9.Clicking the copy button:
    a.Copy the travel diary title to the clipboard;[0.20]
    b.After successful copying, a message pops up to prompt that the copy was successful.[0.20]
10.Swap the positions of the diary detail area and the travel diary summary list area by dragging and dropping:[0.20]</t>
  </si>
  <si>
    <t>Travel page Elements include</t>
  </si>
  <si>
    <t>Travel page Functional requirements - 1</t>
  </si>
  <si>
    <t>1.The Attractions’ information data comes from the JSON file;[0.20]
2.Map images can be manipulated using finger gestures:
    a.Stretch to zoom in;[0.30]
    b.After zooming in, the user can long press and drag with one finger.[0.30]
3.The location marker icon always maintains the correct position and fixed size on the map;[0.30]
4.Tapping the draw icon button highlights it, allowing users to freely draw red shapes on the map;[0.50]
5.Drawn shapes always maintain the correct position and scale on the map;[0.20]</t>
  </si>
  <si>
    <t>Travel page Functional requirements - 2</t>
  </si>
  <si>
    <t>6.Click the save button to save the map, location markers, and drawn shapes as an image in the system photo gallery;[0.60]
7.Attraction introduction dialog:
    a.Click the location marker icon to open the introduction dialog box;[0.20]
    b.Click the Close button to close the introduction dialog box;[0.20]
    c.Click the "Go Now!" button to open the map app (Google/Apple Maps);[0.20]
    d.Click on the scenic spot picture to open a new window displaying the full picture;[0.10]
    e.The Attraction name can be dragged and dropped into Messages to share in split-screen mode (refer to the media-files' video: drag_and_drop_demo_video_android.mp4 or drag_and_drop_demo_video_ipad_os.mp4).[0.20]</t>
  </si>
  <si>
    <t>Account page (before sign in) Elements include</t>
  </si>
  <si>
    <t>Account page (before sign in) Functional requirements - 1</t>
  </si>
  <si>
    <t>1.Sign in/up requires the use of Web API;[0.20]
2.By default, the Sign in/up area is not displayed;[0.10]
3.Click "Join us now" to display the Sign in/up area;[0.10]
4.The email input box verifies the correctness of the email format in real time:
    a.If it does not conform to the correct format, display a red message "Invalid Email";[0.20]
    b.If the format is correct, do not display any prompt.[0.10]
5.The password input box verifies the correctness of the password format (at least 6 characters including English letters and numbers) in real time:
    a.If the password does not conform to the correct format, displays a red message "Invalid Password";[0.10]
    b.If the format is correct, do not display any prompt.[0.10]</t>
  </si>
  <si>
    <t>Account page (before sign in) Functional requirements - 2</t>
  </si>
  <si>
    <t>6.Password characters are displayed in ciphertext;[0.10]
7.In the password input box, pressing and holding the eye-shaped icon button displays the password characters in plain text; releasing your finger returns the password characters to ciphertext;[0.10]
8.Clicking "READ USER AGREEMENT" opens a WebView dialog in the app and displays the user agreement webpage with the CSS style correctly applied;[0.20]
9.The WebView dialog can only be closed by clicking the close button on the user agreement webpage;[0.20]
10.When a user signs in with an incorrect password, a system notification pops up to inform the user of the reason for the login failure;[0.10]
11.When the user successfully signs in with the correct password, a prompt tone (sign_in_success.mp3) is played;[0.10]
12.Upon successful sign-in with correct information, the page displays the content of the Account page (after sign in).[0.10]</t>
  </si>
  <si>
    <t>Account page (after sign in) Elements include</t>
  </si>
  <si>
    <t>Account page (after sign in) Functional requirements</t>
  </si>
  <si>
    <t>1.The username of the currently signed-in user is derived from the string before @ in the signed-in user's email address;[0.20]
2.Clicking the favorite button, the favorite button turns yellow, and the number of favorites on the Account page increases by one.[0.20]
3.The My Favorites area shows the user's favorite diary list;[0.10]
4.Newly favorited diary items are displayed at the top of the favorites list;[0.10]
5.Each diary item can display up to 4 lines of text. Text exceeding 4 lines is truncated and displayed as "...";[0.10]
6.Clicking the "Sign out" button signs out the current user, and the page switches to the Account page (before sign in).[0.10]</t>
  </si>
  <si>
    <t>Application easy to use</t>
  </si>
  <si>
    <t>App does not run normally</t>
  </si>
  <si>
    <t>App runs normally, but some functions are hard to use.</t>
  </si>
  <si>
    <t>App runs normally, and most of the functions are easy to use, a few of functions are hard to use.</t>
  </si>
  <si>
    <t>App runs normally, and the functional experience is good, all users can enjoy it.</t>
  </si>
  <si>
    <t>Criterion B</t>
  </si>
  <si>
    <t>B1</t>
  </si>
  <si>
    <t>Module B AM</t>
  </si>
  <si>
    <t>2</t>
  </si>
  <si>
    <t>Instructions to the Competitor 1</t>
  </si>
  <si>
    <t>Instructions to the Competitor 2</t>
  </si>
  <si>
    <t>Instructions to the Competitor 3</t>
  </si>
  <si>
    <t>1.You should add at least one page to enrich the theme of the App. The specific content of the page is up to you, and the entry to the page should be in the Account page-2;[0.30]
2.Links between all pages should be set up;[0.30]</t>
  </si>
  <si>
    <t>Home page Elements at least include</t>
  </si>
  <si>
    <t>Home page Design requirements:</t>
  </si>
  <si>
    <t>1.The list of attractions must contain at least 3 different items;[0.10]
2.The heart icon in each list item can be lit up;[0.10]
3.The bottom navigation for Attractions and Account needs corresponding icon designs;[0.10]
4.The LOGO in the bottom navigation needs to be replaced with the provided material;[0.10]
5.Clicking “Attractions” at the bottom navigates to the Attractions page.[0.10]</t>
  </si>
  <si>
    <t>Attractions page Elements at least include</t>
  </si>
  <si>
    <t>Attractions page Design requirements:</t>
  </si>
  <si>
    <t>1.Click the marker to navigate to the Attraction Detail page;[0.10]
2.There should be at least 3 markers.[0.10]</t>
  </si>
  <si>
    <t>Attraction Detail page Elements at least include</t>
  </si>
  <si>
    <t>Attraction Detail page Design requirements:</t>
  </si>
  <si>
    <t>Click the close button to navigate to the Attractions page.</t>
  </si>
  <si>
    <t>Account page-1 Elements at least include:</t>
  </si>
  <si>
    <t>Account page-1 Design requirements:</t>
  </si>
  <si>
    <t>Click the "Join us now" button to navigate to the Sign in/up page.</t>
  </si>
  <si>
    <t>Sign in/up page Elements at least include:</t>
  </si>
  <si>
    <t>Sign in/up page Design requirements:</t>
  </si>
  <si>
    <t>1.Click the email input box to clear the text;[0.10]
2.Click the eye-shaped icon to display the password as "123456" instead of "******";[0.10]
3.Click the password input box to clear the text;[0.10]
4.Click the "Sign in/up" button to navigate to Account page-2.[0.10]</t>
  </si>
  <si>
    <t>Account page-2 Elements at least include:</t>
  </si>
  <si>
    <t>Account page-2 Design requirements:</t>
  </si>
  <si>
    <t>1.Buttons need design improvement, such as rounded corners, color gradients, etc.;[0.10]
2.The avatar needs specificity or design improvements;[0.10]
3.Click the "Messages" button to navigate to the Message page;[0.10]</t>
  </si>
  <si>
    <t>Message page Elements at least include:</t>
  </si>
  <si>
    <t>Message page  Design requirements:</t>
  </si>
  <si>
    <t>1.Ensure the list of messages contains at least two messages items;[0.10]
2.Improve the design of the icons;[0.10]
3.Improve the design of the "back" button;[0.10]
4.Click the "back" button to navigate to Account page-2.[0.10]</t>
  </si>
  <si>
    <t>The overall visual design of XD works, every page has got some design improvement.</t>
  </si>
  <si>
    <t>Almost no visual design, similar to wireframes</t>
  </si>
  <si>
    <t>There are certain visual design optimizations</t>
  </si>
  <si>
    <t>The optimization of visual elements such as color matching, button design, and content layout has effectively improved the effect of the overall prototype map</t>
  </si>
  <si>
    <t>I was impressed by the exquisite design of the high-precision prototypes.</t>
  </si>
  <si>
    <t>The experience of using XD works</t>
  </si>
  <si>
    <t>XD works cannot be previewed</t>
  </si>
  <si>
    <t>The operation expectations of XD works are consistent with the title</t>
  </si>
  <si>
    <t>XD works added new pages and page elements</t>
  </si>
  <si>
    <t>The newly added pages and page elements of XD works can effectively improve the operation experience of the works.</t>
  </si>
  <si>
    <t>B2</t>
  </si>
  <si>
    <t>Module B PM</t>
  </si>
  <si>
    <t>1.You should add at least one page to enrich the theme of the App, and the specific content of the page is of your own choice, the entry to the page should be in the User page;[0.20]
2.Links between all pages should be set up;[0.10]</t>
  </si>
  <si>
    <t>Home page Elements at least include:</t>
  </si>
  <si>
    <t>1.The LOGO provided in media-files should be used;[0.05]
2.Click the "Login" button to navigate to the Login page;[0.05]
3.The images in the Image Banner should to be specific (not image placeholders);[0.10]
4.The image in the Image Banner changes automatically every 2 seconds;[0.10]
5.The dot corresponding to the current image in the banner should be highlighted;[0.10]
6.In the bottom navigation, clicking different buttons should lead to the corresponding pages.[0.10]</t>
  </si>
  <si>
    <t>Login page Elements at least include:</t>
  </si>
  <si>
    <t>Login page Design requirements:</t>
  </si>
  <si>
    <t>1.The banner needs to use a specific image;[0.10]
2.Allow the checkbox to be clicked repeatedly to toggle between checked and unchecked statuses;[0.10]
3.Click the "Login" button to navigate to the Attractions page.[0.10]</t>
  </si>
  <si>
    <t>Attractions page Elements at least include:</t>
  </si>
  <si>
    <t>1.Elements, such as the search bar, can be repositioned as needed;[0.10]
2.Add a LOGO (images/logo) to create a more coherent visual experience;[0.10]
3.Add a page title to enhance user clarity;[0.10]
4.The number of items displayed must be more than 3;[0.10]
5.The "Favorite" and "Add to my journey" buttons should have graphical designs rather than being text-only;[0.10]
6.Click the first item in the list of attractions to navigate to the Attraction Detail page.[0.10]</t>
  </si>
  <si>
    <t>Attraction Detail page Elements at least include:</t>
  </si>
  <si>
    <t>1.Improve the design of the "Back" button;[0.10]
2.Click the "Back" button to navigate to the Attranctions page;[0.10]
3.The content of the Image banner needs to be specific;[0.10]
4.In the Banner area, clicking a dot indicator should switch to the corresponding image;[0.10]
5.When the image changes in the Banner area, the description details should update accordingly;[0.10]
6.Click the "Logout" button to navigate to the Login page.[0.10]</t>
  </si>
  <si>
    <t>Journey page Elements at least include:</t>
  </si>
  <si>
    <t>Journey page Design requirements:</t>
  </si>
  <si>
    <t>1.Ensure there is at least one virtual event on the calendar;[0.10]
2.Rationalize the calendar table layout to display all days in September 2024;[0.10]
3.Click on an event in the schedule to display more information about it.[0.10]</t>
  </si>
  <si>
    <t>User page Elements at least include:</t>
  </si>
  <si>
    <t>User page Design requirements:</t>
  </si>
  <si>
    <t>1.Improve the design of the avatar;[0.20]
2.The username should be specific, such as "Jacky";[0.10]
3.Click the "Logout" button to navigate to the Login page.[0.10]</t>
  </si>
  <si>
    <t>Criterion C</t>
  </si>
  <si>
    <t>C1</t>
  </si>
  <si>
    <t>Module C AM</t>
  </si>
  <si>
    <t>3</t>
  </si>
  <si>
    <t>1.Home  page Elements include</t>
  </si>
  <si>
    <t>1.Implement an animation where the museum area gradually appears from top to bottom;[0.30]
2.Present the title and introduction text using a typing animation effect;[0.30]
3.Sequence the animations as follows: Museum area, title, introduction text.  Start each animation immediately after the previous one ends (refer to animations/home.mp4);[0.30]
4.Click the "Explore Now" button to navigate to the Explore page.[0.20]</t>
  </si>
  <si>
    <t>Explore page Elements include</t>
  </si>
  <si>
    <t>Explore page Functional requirements</t>
  </si>
  <si>
    <t>1.Click "Tickets" to navigate to the Ticketing page;[0.20]
2.Click the "Visit Gallery" button to navigate to the Artists page.[0.20]</t>
  </si>
  <si>
    <t>Ticketing page Elements include</t>
  </si>
  <si>
    <t>Ticketing page Functional requirements</t>
  </si>
  <si>
    <t>1.Ensure there is a dark layer on the background image that transitions seamlessly into the background color below;[0.30]
2.Display the calendar view correctly to show all dates for September 2024;[0.30]
3.The museum closes every Tuesday, so display Tuesday and past dates in gray, highlight today’s date, and show other dates in white;[0.30]
4.Allow users to select a date by clicking it, with the selected date displayed with a circular border. Only today’s date and future dates (excluding Tuesday) can be selected;[0.40]
5.The quantity can be adjusted by clicking the plus and minus icons, with the range limited to 0-9;[0.30]
6.The checkout area should remain fixed at the bottom of the screen while the page is being scrolled. [0.30]</t>
  </si>
  <si>
    <t>Artists page Elements include</t>
  </si>
  <si>
    <t>Artists page Functional requirements</t>
  </si>
  <si>
    <t>1.Use the provided background image (images/background.jpg) to cover the entire screen;[0.30]
2.Allow tab items to be selected by clicking, with the selected item highlighted and underlined;[0.30]
3.Dsipaly data for the 3 artists correctly;[0.30]
4.Apply the border-radius to the artworks as specified in the prototype, and enable horizontal swiping of the artworks;[0.30]
5.Click on the artworks of first artist to navigate to the Exhibit page.[0.30]</t>
  </si>
  <si>
    <t>Exhibit page Elements include</t>
  </si>
  <si>
    <t>Exhibit page Functional requirements</t>
  </si>
  <si>
    <t>1.Read the artworks data from data/artworks.json;[0.30]
2.The rounded corners and order of elements for the artworks should be identical to the prototype;[0.30]
3.Display the artworks in a petal-shaped layout, with no tilt and enabling horizontal swiping (refer to animations/artworks.mp4);[0.40]
4.Display the comment text as the artworks are swiped.[0.30]</t>
  </si>
  <si>
    <t>Quality of animations</t>
  </si>
  <si>
    <t>Did not complete any animation effects</t>
  </si>
  <si>
    <t>Part of animations completed or some effects are flawed</t>
  </si>
  <si>
    <t>All animations completed, and the effects are close to provided videos</t>
  </si>
  <si>
    <t>All animations completed, and the effects are as same as provided videos</t>
  </si>
  <si>
    <t>Quality of layout</t>
  </si>
  <si>
    <t>The colors, positions, or styles of various page elements differ greatly from the provided prototypes.</t>
  </si>
  <si>
    <t>There are differences in the colors, positions, or styles of some page elements compared to the provided prototypes.</t>
  </si>
  <si>
    <t>The colors, positions, or styles of various page elements are similar to the provided prototypes.</t>
  </si>
  <si>
    <t>The colors, positions, or styles of the page elements and fonts are nearly identical to the provided prototypes.</t>
  </si>
  <si>
    <t>C2</t>
  </si>
  <si>
    <t>Module C PM</t>
  </si>
  <si>
    <t>Deduct 0.3 for each missing or incorrect element.</t>
  </si>
  <si>
    <t>1.Use the provided image to cover the letter "O";[0.20]
2.Place the four letters of "LYON" in different positions;[0.20]
3.Arrange all the lines in different positions;[0.20]
4.Implement the following animation for element appearance (refer to animations/home.mp4):
    a.At the start, only the purple background is visible on the page;[0.20]
    b.When the page loads, animate the four letters of "LYON" sequentially with translate and fade animations, starting from the center of the page;[0.20]
    c.Sequentially animate all lines with translate and fade animations;[0.20]
    d.All element animations should stop at the final frame.[0.20]</t>
  </si>
  <si>
    <t>History page Elements include</t>
  </si>
  <si>
    <t>History page Functional requirements</t>
  </si>
  <si>
    <t>1.Read the histories data from data/histories.json;[0.20]
2.Highlight the slogan texts "capital of Gaul" and "more than 2000 years.";[0.20]
3.Implement the following animation for the progress indicator (animations/history.mp4):
    a.Highlight the current part of the indicator;[0.20]
    b.Animate the progress bar for 3 seconds;[0.20]
    c.Transition the progress indicator to the next stage;[0.20]
    d.After reaching the final stage, loop back to the first stage and continue.[0.20]
4.Implement an animation where images switch using a left-to-right clipping effect.[0.20]</t>
  </si>
  <si>
    <t>Moments page Elements include</t>
  </si>
  <si>
    <t>Moments page Functional requirements</t>
  </si>
  <si>
    <t>1.Implement the following animation for photo galleries (refer to animations/moments.mp4):
    a.The list on the left side plays an upward vertical scrolling animation;[0.20]
    b.The list on the right side plays a downward vertical scrolling animation;[0.20]
    c.Create a loop display, where the end of the sequence transitions smoothly back to the beginning;[0.20]
    d.The playback of animations should be continuous at constant speed.[0.20]</t>
  </si>
  <si>
    <t>Recommendation page Elements include</t>
  </si>
  <si>
    <t>Recommendation page Functional requirements</t>
  </si>
  <si>
    <t>1.Implement the shrink/expand function for the sidebar content as follows (refer to animations/sidebar.mp4):
    a.All contents are expanded by default;[0.10]
    b.When clicking the shrink icon button for a contenct section:
        (1)Hide the content, leaving only the title and icon button visible;[0.15]
        (2)Change the shrink icon button to the expand icon button.[0.15]
    c.When clicking the expand icon button for a contenct section:
        (1)Show the content;[0.15]
        (2)Change the expand icon button to the shrink icon button.[0.15]
2.Click the expand icon button in the map area to navigate to the Map page;[0.20]
3.Transition the Lyon map to the Map page in a flying animation (refer to animations/map.mp4);[0.20]
4.Recommended images should have a black gradient at the bottom;[0.20]
5.Read the comments data from data/comments.json;[0.20]
6.Allow users to scroll up and down to view all comments.[0.20]</t>
  </si>
  <si>
    <t>Map page Elements include</t>
  </si>
  <si>
    <t>Map page Functional requirements</t>
  </si>
  <si>
    <t>1.Use the provided map as the background, covering the entire screen;[0.20]
2.Implement the following animation for the search input box (refer to animations/search.mp4):
    a.When the search box is focused, display the autofill dialog;[0.20]
    b.The autofill dialog appears with given data in an upward movement and fade-in animation;[0.20]
    c.Adjust the bottom border-radius of the search input box as the autofill dialog appears;[0.20]
    d.The autofill dialog should disappear when the search box loses focus.[0.20]
3.Click the shrink icon button to return to the Recommendation page.[0.10]</t>
  </si>
  <si>
    <t>Evaluation of layout details</t>
  </si>
  <si>
    <t>The colors, positions, or styles of the page elements are nearly identical to the provided prototypes.</t>
  </si>
  <si>
    <t>Criterion D</t>
  </si>
  <si>
    <t>D1</t>
  </si>
  <si>
    <t>Develop by Test Case</t>
  </si>
  <si>
    <t>4</t>
  </si>
  <si>
    <t>Form 1.1: Application UI Test Case:
Home Page</t>
  </si>
  <si>
    <t>1.The title bar contains the app name, the French flag, and an icon button in the top right corner;[0.05]
2.The homepage contains a search bar and a list of bookable hotels;[0.05]
3.The search bar displays the hint text "Search a hotel name";[0.05]
4.The search bar allows finding hotels based on the entered text;[0.20]
5.The Search button should be shown on the system keyboard;[0.20]
6.Each hotel list item includes:
    a.Hotel name;[0.05]
    b.Hotel ratings and star rating bars;[0.05]
    c.Distance-- "XX km from Alps' ski lift";[0.05]
    d.Book Button;[0.05]
    e.Hotel cover image.[0.05]
7.Click the booking button of a hotel list item to navigate to the corresponding Booking Details page (Only data with hotel_id 1000 and 1008 need to be implemented);[0.20]
8.Click the icon button in the top right corner to navigate to the My Bookings page.[0.20]</t>
  </si>
  <si>
    <t>Form 1.1: Application UI Test Case:
Booking Details (top bar)</t>
  </si>
  <si>
    <t>1.The title bar contains a back button and the text "Booking"; [0.10]
2.Click the back button to navigate to the previous page;[0.20]
3.The hotel information bar shows the hotel name;[0.20]
4.Use tabs on the subpages (guest reviews, room selection) to navigate to the corresponding pages.[0.20]</t>
  </si>
  <si>
    <t>Form 1.1: Application UI Test Case:
Booking Details page (guest reviews)</t>
  </si>
  <si>
    <t>1.The Ratings area includes:
    a.Title--"Ratings";[0.05]
    b.Several rating items;[0.05]
    c.Each rating item includes progress bars and scores.[0.05]
2.The Reviews area includes:
    a.Title--"Reviews";[0.05]
    b.Horizontal list of reviews;[0.05]
    c.Each reviews list item includes name, nationality, circle shape and review content;[0.05]
    d.The initial in circle shape represents the first letter of the reviewer's name.[0.05]</t>
  </si>
  <si>
    <t>Form 1.1: Application UI Test Case:
Booking Details page (room selection)</t>
  </si>
  <si>
    <t>1.The Rooms area includes:
    a.Title--"Rooms";[0.05]
    b.A list of rooms.[0.10]
2.Each room includes:
    a.Room Type;[0.05]
    b.Bed type-- "Bed: XX";[0.05]
    c."Total number of guests: XX";[0.05]
    d.Room features introduction text;[0.05]
    e."€" icon with price text.[0.05]
3.Click a bookable room list item to navigate to the corresponding Booking Confirm page.[0.10]</t>
  </si>
  <si>
    <t>Form 1.1: Application UI Test Case:
Booking Confirm page</t>
  </si>
  <si>
    <t>1.The title bar includes a back button, text "Booking Confirm", and the text "You are going to reserve:"; [0.10]
2.Click the back button to return to the previous page;[0.20]
3.Hotel information comes from previous selection;[0.20]
4.The Form area includes:
    a."First Name" and "Last Name" input boxes;[0.05]
    b."Check-in date" and "Check-out date" input boxes;[0.05]
    c.Room type to be booked;[0.05]
    d."Adults" and "Children" input boxes;[0.05]
    e.Automatically calculated number of "Rooms";[0.05]
    f."Travel for business?" radio button with sub-options--"For sightseeing" and "+ €150 For business with a meeting room";[0.05]
    g."Which way to pay?" radio button with sub-options-- "Cash", "Credit card" and "E-Pay";[0.05]
    h."€" icon with automatically calculated price text;[0.20]
    i."Book now" button.[0.05]</t>
  </si>
  <si>
    <t>Form 1.2: Application Test Case:
First Name Input and Last Name input boxes</t>
  </si>
  <si>
    <t>1) length:[1,15]; [0.10]
2) validity:Required, only letters can be entered;[0.10]</t>
  </si>
  <si>
    <t>Form 1.2: Application Test Case:
Date input box</t>
  </si>
  <si>
    <t>1) format: (i.e. Tue, Sep 10, 2024)， [0.10]
2) validity:Required, each value should be a valid date, and the start date should be earlier than the end date.[0.10]</t>
  </si>
  <si>
    <t>Form 1.2: Application Test Case:
Note:format date automatically</t>
  </si>
  <si>
    <t>The date input box accepts multiple formats and automatically converts them to the correct format (e.g. “Tue, Sep 10, 2024”). Acceptable input formats only include “09/10/2024”, “09-10-2024” and “Sep 10 2024”;</t>
  </si>
  <si>
    <t>Form 1.2: Application Test Case:
Input box for the number of adults and children</t>
  </si>
  <si>
    <t>1) length: Adults: [1, 5]; Children: [0, 2 times the number of adults];[0.10]
2) validity:Required, cannot be children only, only numbers can be entered;[0.10]
3) defaults: Adults: 1, Children: 0;[0.10]</t>
  </si>
  <si>
    <t>Form 1.2: Application Test Case:
Note:calculate automatically</t>
  </si>
  <si>
    <t>1.When the number of occupants changes, the number of rooms is automatically calculated based on the total number of people;[0.20]
2.The price is automatically recalculated based on the number of rooms, the type of reservation and length of stay whenever the number of rooms, the reservation type or the date changes;[0.25]</t>
  </si>
  <si>
    <t>Form 1.2: Application Test Case:
Note:click the Book now button to verify data</t>
  </si>
  <si>
    <t>Clicking the "Book now" button triggers data verification:
    a. If an error is detected, a corresponding prompt will pop up;[0.20]
    b. If the verification is successful, a prompt "Are you going to book this room?" will pop up. Clicking "No" closes the dialog box; clicking "Yes" saves the reservation information, close the dialog box, and navigates to the My Bookings page.[0.20]</t>
  </si>
  <si>
    <t>Form 1.1: Application UI Test Case:
My Bookings page</t>
  </si>
  <si>
    <t>1.The title bar includes the back button, and text "My Bookings"; [0.05]
2."List of my bookings" subtitle;[0.05]
3.Booking List;[0.05]
4.Each list item includes:
    a.Numerical sequence (starting from 1);[0.05]
    b.Name of the person who made the reservation;[0.05]
    c.Start and end dates (formatted as: Tue, Sep 10, 2024);[0.05]
    d.Number of adults, children and rooms;[0.05]
    e.Booking type and payment method;[0.05]
    f.Price.[0.05]</t>
  </si>
  <si>
    <t>Application Ease of Use</t>
  </si>
  <si>
    <t>App runs normally, but some functionality is missing</t>
  </si>
  <si>
    <t>App runs normally, and functions are finished</t>
  </si>
  <si>
    <t>App runs normally, and the functional experience is good</t>
  </si>
  <si>
    <t>D2</t>
  </si>
  <si>
    <t>Automated Test</t>
  </si>
  <si>
    <t>Automated test step 1 runs normally</t>
  </si>
  <si>
    <t>Application starts normally
(Notice: refer to the Automated Test Guide)</t>
  </si>
  <si>
    <t>Automated test step 2 runs normally</t>
  </si>
  <si>
    <t>The hotel list is successfully scrolled to the bottom</t>
  </si>
  <si>
    <t>Automated test step 3 runs normally</t>
  </si>
  <si>
    <t>Perform a search after entering the search term "Méribel" in the search bar; Hotel list search results in the list contains "Appartement Méribel"</t>
  </si>
  <si>
    <t>Automated test step 4 runs normally</t>
  </si>
  <si>
    <t>Click the listing item "Appartement Méribel"; Go to the Booking Details page for the hotel "Appartement Méribel" and display the Overview subpage</t>
  </si>
  <si>
    <t>Automated test step 5 runs normally</t>
  </si>
  <si>
    <t>Click the Guest reviews tab button to display the Guest reviews subpage</t>
  </si>
  <si>
    <t>Automated test step 6 runs normally</t>
  </si>
  <si>
    <t>Successfully slid the Reviews list to the 4th Reviews item (publisher name is "Miles")</t>
  </si>
  <si>
    <t>Automated test step 7 runs normally</t>
  </si>
  <si>
    <t>Click the Room selection label button to display Room selection subpage</t>
  </si>
  <si>
    <t>Automated test step 8 runs normally</t>
  </si>
  <si>
    <t>Successfully slide the room list to the room item "Great Family Room"</t>
  </si>
  <si>
    <t>Automated test step 9 runs normally</t>
  </si>
  <si>
    <t>Click the "Great Family Room" item to navigate to the Booking Confirm page of the hotel's Great Family Room</t>
  </si>
  <si>
    <t>Automated test step 10 runs normally</t>
  </si>
  <si>
    <t>Enter First Name :"Taylor"; The First Name input box shows "Taylor"</t>
  </si>
  <si>
    <t>Automated test step 11 runs normally</t>
  </si>
  <si>
    <t>Enter Last Name :"Hutchinson"; The Last Name input box shows "Hutchinson"</t>
  </si>
  <si>
    <t>Automated test step 12 runs normally</t>
  </si>
  <si>
    <t>Enter check-in date "Oct 15 2024";Check-in date displays the correct date format "Tue, Oct 15, 2024"</t>
  </si>
  <si>
    <t>Automated test step 13 runs normally</t>
  </si>
  <si>
    <t>Enter check-out date "2024/2/10"; Check-out date is displayed as "2024/2/10"</t>
  </si>
  <si>
    <t>Automated test step 14 runs normally</t>
  </si>
  <si>
    <t>Enter the number of adults: 4; The number of adults is shown as 4 and the number of rooms is shown as 2</t>
  </si>
  <si>
    <t>Automated test step 15 runs normally</t>
  </si>
  <si>
    <t>Enter the number of children: 3; The number of children is shown as 3 and the number of rooms is shown as 3</t>
  </si>
  <si>
    <t>Automated test step 16 runs normally</t>
  </si>
  <si>
    <t>Click the E-Pay radio button; Cash button disabled; E-Pay radio button enabled</t>
  </si>
  <si>
    <t>Automated test step 17 runs normally</t>
  </si>
  <si>
    <t>Click the "Book now" button; Pop-up error message window</t>
  </si>
  <si>
    <t>Automated test step 18 runs normally</t>
  </si>
  <si>
    <t>Change check-out date "10-19-2024"; Check-out date displays the correct date format “Sat, Oct 19, 2024”</t>
  </si>
  <si>
    <t>Automated test step 19 runs normally</t>
  </si>
  <si>
    <t>Click the "Book now" button; A pop-up window will pop up to confirm the reservation</t>
  </si>
  <si>
    <t>Automated test step 20 runs normally</t>
  </si>
  <si>
    <t>Click "Yes" in the pop-up window to confirm your reservation and go to the My Bookings page, and the booking list shows the information of the newly completed booking</t>
  </si>
  <si>
    <t>Automated test readable</t>
  </si>
  <si>
    <t>All steps need to be held on for at least 10 seconds, and the "Step No: $Steps_No,$Description of the Action" should be logged on the "output" area, such as terminal, debug area or console.</t>
  </si>
  <si>
    <t>Criterion E</t>
  </si>
  <si>
    <t>Criterion F</t>
  </si>
  <si>
    <t>Criterion G</t>
  </si>
  <si>
    <t>Criterion H</t>
  </si>
  <si>
    <t>Criterion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</si>
</sst>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56">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8" xfId="0" applyAlignment="true" applyBorder="true" applyNumberFormat="true" applyFill="true" applyFont="true" quotePrefix="false">
      <alignment horizontal="general" vertical="bottom" indent="0" textRotation="0" wrapText="false" shrinkToFi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8"/>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8.0</v>
      </c>
      <c r="J5" s="36">
        <f>SUMIF(I29:I247, A5, K29:K247)</f>
      </c>
      <c r="K5" s="36">
        <f>ABS(I5-J5)</f>
      </c>
    </row>
    <row r="6" ht="25.0" customHeight="true">
      <c r="A6" t="n" s="35">
        <v>2.0</v>
      </c>
      <c r="B6" t="s" s="34">
        <v>26</v>
      </c>
      <c r="H6" s="41"/>
      <c r="I6" t="n" s="37">
        <v>7.0</v>
      </c>
      <c r="J6" s="36">
        <f>SUMIF(I29:I247, A6, K29:K247)</f>
      </c>
      <c r="K6" s="36">
        <f>ABS(I6-J6)</f>
      </c>
    </row>
    <row r="7" ht="25.0" customHeight="true">
      <c r="A7" t="n" s="35">
        <v>3.0</v>
      </c>
      <c r="B7" t="s" s="34">
        <v>27</v>
      </c>
      <c r="H7" s="41"/>
      <c r="I7" t="n" s="37">
        <v>5.0</v>
      </c>
      <c r="J7" s="36">
        <f>SUMIF(I29:I247, A7, K29:K247)</f>
      </c>
      <c r="K7" s="36">
        <f>ABS(I7-J7)</f>
      </c>
    </row>
    <row r="8" ht="25.0" customHeight="true">
      <c r="A8" t="n" s="35">
        <v>4.0</v>
      </c>
      <c r="B8" t="s" s="34">
        <v>28</v>
      </c>
      <c r="H8" s="41"/>
      <c r="I8" t="n" s="37">
        <v>25.0</v>
      </c>
      <c r="J8" s="36">
        <f>SUMIF(I29:I247, A8, K29:K247)</f>
      </c>
      <c r="K8" s="36">
        <f>ABS(I8-J8)</f>
      </c>
    </row>
    <row r="9" ht="25.0" customHeight="true">
      <c r="A9" t="n" s="35">
        <v>5.0</v>
      </c>
      <c r="B9" t="s" s="34">
        <v>29</v>
      </c>
      <c r="H9" s="41"/>
      <c r="I9" t="n" s="37">
        <v>15.0</v>
      </c>
      <c r="J9" s="36">
        <f>SUMIF(I29:I247, A9, K29:K247)</f>
      </c>
      <c r="K9" s="36">
        <f>ABS(I9-J9)</f>
      </c>
    </row>
    <row r="10" ht="25.0" customHeight="true">
      <c r="A10" t="n" s="35">
        <v>6.0</v>
      </c>
      <c r="B10" t="s" s="34">
        <v>30</v>
      </c>
      <c r="H10" s="41"/>
      <c r="I10" t="n" s="37">
        <v>30.0</v>
      </c>
      <c r="J10" s="36">
        <f>SUMIF(I29:I247, A10, K29:K247)</f>
      </c>
      <c r="K10" s="36">
        <f>ABS(I10-J10)</f>
      </c>
    </row>
    <row r="11" ht="25.0" customHeight="true">
      <c r="A11" t="n" s="39">
        <v>7.0</v>
      </c>
      <c r="B11" t="s" s="38">
        <v>31</v>
      </c>
      <c r="C11" s="42"/>
      <c r="D11" s="42"/>
      <c r="E11" s="42"/>
      <c r="F11" s="42"/>
      <c r="G11" s="42"/>
      <c r="H11" s="43"/>
      <c r="I11" t="n" s="40">
        <v>10.0</v>
      </c>
      <c r="J11" s="40">
        <f>SUMIF(I29:I247, A11, K29:K247)</f>
      </c>
      <c r="K11" s="40">
        <f>ABS(I11-J11)</f>
      </c>
    </row>
    <row r="12" spans="1:14" ht="25.0" customHeight="true" thickBot="1" x14ac:dyDescent="0.2">
      <c r="C12" s="10"/>
      <c r="E12" s="10"/>
      <c r="I12" s="29" t="s">
        <v>20</v>
      </c>
      <c r="J12" s="30"/>
      <c r="K12" s="40">
        <f>SUM(K5:K11)</f>
      </c>
    </row>
    <row r="13" spans="1:14" ht="20" customHeight="1" x14ac:dyDescent="0.15">
      <c r="C13" s="10"/>
      <c r="E13" s="10"/>
      <c r="I13" s="15"/>
      <c r="J13" s="15"/>
      <c r="K13" s="16"/>
    </row>
    <row r="14" spans="1:14" ht="20" customHeight="1" thickBot="1" x14ac:dyDescent="0.2">
      <c r="C14" s="10"/>
      <c r="E14" s="10"/>
      <c r="I14" s="13"/>
      <c r="J14" s="10"/>
    </row>
    <row r="15" spans="1:14" ht="35.0" customHeight="true" thickBot="1" x14ac:dyDescent="0.2">
      <c r="A15" s="20" t="s">
        <v>17</v>
      </c>
      <c r="B15" s="21"/>
      <c r="C15" s="21"/>
      <c r="D15" s="21"/>
      <c r="E15" s="21"/>
      <c r="F15" s="21"/>
      <c r="G15" s="21"/>
      <c r="H15" s="21"/>
      <c r="I15" s="21"/>
      <c r="J15" s="21"/>
      <c r="K15" s="22"/>
    </row>
    <row r="16" spans="1:14" ht="35.0" customHeight="true" thickBot="1" x14ac:dyDescent="0.2">
      <c r="A16" s="11" t="s">
        <v>19</v>
      </c>
      <c r="B16" s="23" t="s">
        <v>13</v>
      </c>
      <c r="C16" s="24"/>
      <c r="D16" s="24"/>
      <c r="E16" s="24"/>
      <c r="F16" s="24"/>
      <c r="G16" s="24"/>
      <c r="H16" s="24"/>
      <c r="I16" s="24"/>
      <c r="J16" s="25"/>
      <c r="K16" s="11" t="s">
        <v>0</v>
      </c>
    </row>
    <row r="17" ht="25.0" customHeight="true">
      <c r="A17" t="s" s="35">
        <v>32</v>
      </c>
      <c r="B17" t="s" s="34">
        <v>33</v>
      </c>
      <c r="J17" s="41"/>
      <c r="K17" t="n" s="37">
        <v>30.0</v>
      </c>
    </row>
    <row r="18" ht="25.0" customHeight="true">
      <c r="A18" t="s" s="35">
        <v>34</v>
      </c>
      <c r="B18" t="s" s="34">
        <v>35</v>
      </c>
      <c r="J18" s="41"/>
      <c r="K18" t="n" s="37">
        <v>20.0</v>
      </c>
    </row>
    <row r="19" ht="25.0" customHeight="true">
      <c r="A19" t="s" s="35">
        <v>36</v>
      </c>
      <c r="B19" t="s" s="34">
        <v>37</v>
      </c>
      <c r="J19" s="41"/>
      <c r="K19" t="n" s="37">
        <v>30.0</v>
      </c>
    </row>
    <row r="20" ht="25.0" customHeight="true">
      <c r="A20" t="s" s="35">
        <v>38</v>
      </c>
      <c r="B20" t="s" s="34">
        <v>39</v>
      </c>
      <c r="J20" s="41"/>
      <c r="K20" t="n" s="37">
        <v>20.0</v>
      </c>
    </row>
    <row r="21" ht="25.0" customHeight="true">
      <c r="A21" t="s" s="35">
        <v>40</v>
      </c>
      <c r="B21" s="34"/>
      <c r="J21" s="41"/>
      <c r="K21" s="37"/>
    </row>
    <row r="22" ht="25.0" customHeight="true">
      <c r="A22" t="s" s="35">
        <v>41</v>
      </c>
      <c r="B22" s="34"/>
      <c r="J22" s="41"/>
      <c r="K22" s="37"/>
    </row>
    <row r="23" ht="25.0" customHeight="true">
      <c r="A23" t="s" s="35">
        <v>42</v>
      </c>
      <c r="B23" s="34"/>
      <c r="J23" s="41"/>
      <c r="K23" s="37"/>
    </row>
    <row r="24" ht="25.0" customHeight="true">
      <c r="A24" t="s" s="35">
        <v>43</v>
      </c>
      <c r="B24" s="34"/>
      <c r="J24" s="41"/>
      <c r="K24" s="37"/>
    </row>
    <row r="25" ht="25.0" customHeight="true">
      <c r="A25" t="s" s="39">
        <v>44</v>
      </c>
      <c r="B25" s="38"/>
      <c r="C25" s="42"/>
      <c r="D25" s="42"/>
      <c r="E25" s="42"/>
      <c r="F25" s="42"/>
      <c r="G25" s="42"/>
      <c r="H25" s="42"/>
      <c r="I25" s="42"/>
      <c r="J25" s="43"/>
      <c r="K25" s="40"/>
    </row>
    <row r="26" spans="1:14" ht="20" customHeight="1" x14ac:dyDescent="0.15">
      <c r="F26" s="8"/>
      <c r="G26" s="9"/>
      <c r="H26" s="9"/>
      <c r="I26" s="9"/>
      <c r="J26" s="3"/>
    </row>
    <row r="27" spans="1:14" ht="20" customHeight="1" thickBot="1" x14ac:dyDescent="0.2">
      <c r="C27" s="3"/>
      <c r="H27" s="3"/>
      <c r="I27" s="3"/>
      <c r="J27" s="3"/>
    </row>
    <row r="28" spans="1:14" ht="71" thickBot="1" x14ac:dyDescent="0.2">
      <c r="A28" s="4" t="s">
        <v>15</v>
      </c>
      <c r="B28" s="4" t="s">
        <v>16</v>
      </c>
      <c r="C28" s="4" t="s">
        <v>10</v>
      </c>
      <c r="D28" s="4" t="s">
        <v>6</v>
      </c>
      <c r="E28" s="4" t="s">
        <v>1</v>
      </c>
      <c r="F28" s="4" t="s">
        <v>2</v>
      </c>
      <c r="G28" s="4" t="s">
        <v>8</v>
      </c>
      <c r="H28" s="4" t="s">
        <v>9</v>
      </c>
      <c r="I28" s="4" t="s">
        <v>23</v>
      </c>
      <c r="J28" s="4" t="s">
        <v>11</v>
      </c>
      <c r="K28" s="4" t="s">
        <v>3</v>
      </c>
      <c r="L28" s="5" t="s">
        <v>7</v>
      </c>
      <c r="M28" s="6" t="s">
        <v>4</v>
      </c>
      <c r="N28" s="7">
        <f>SUM(K29:K74)</f>
      </c>
    </row>
    <row r="29">
      <c r="A29" s="35" t="s">
        <v>45</v>
      </c>
      <c r="B29" s="34" t="s">
        <v>46</v>
      </c>
      <c r="C29" s="35" t="s">
        <v>48</v>
      </c>
      <c r="D29" s="34" t="s">
        <v>47</v>
      </c>
      <c r="E29" s="34" t="s">
        <v>47</v>
      </c>
      <c r="F29" s="34" t="s">
        <v>47</v>
      </c>
      <c r="G29" s="34" t="s">
        <v>47</v>
      </c>
      <c r="H29" s="34" t="s">
        <v>47</v>
      </c>
      <c r="I29" s="34" t="s">
        <v>47</v>
      </c>
      <c r="J29" s="34" t="s">
        <v>47</v>
      </c>
      <c r="K29" s="34" t="s">
        <v>47</v>
      </c>
    </row>
    <row r="30">
      <c r="A30" s="35" t="s">
        <v>47</v>
      </c>
      <c r="B30" s="34" t="s">
        <v>47</v>
      </c>
      <c r="C30" s="35" t="s">
        <v>47</v>
      </c>
      <c r="D30" s="35" t="s">
        <v>49</v>
      </c>
      <c r="E30" s="34" t="s">
        <v>50</v>
      </c>
      <c r="F30" s="35" t="s">
        <v>47</v>
      </c>
      <c r="G30" s="34" t="s">
        <v>51</v>
      </c>
      <c r="H30" s="34" t="s">
        <v>47</v>
      </c>
      <c r="I30" s="35" t="n">
        <v>3.0</v>
      </c>
      <c r="J30" s="35"/>
      <c r="K30" s="37" t="n">
        <v>1.0</v>
      </c>
    </row>
    <row r="31">
      <c r="A31" s="35" t="s">
        <v>47</v>
      </c>
      <c r="B31" s="34" t="s">
        <v>47</v>
      </c>
      <c r="C31" s="35" t="s">
        <v>47</v>
      </c>
      <c r="D31" s="35" t="s">
        <v>49</v>
      </c>
      <c r="E31" s="34" t="s">
        <v>50</v>
      </c>
      <c r="F31" s="35" t="s">
        <v>47</v>
      </c>
      <c r="G31" s="34" t="s">
        <v>52</v>
      </c>
      <c r="H31" s="34" t="s">
        <v>47</v>
      </c>
      <c r="I31" s="35" t="n">
        <v>2.0</v>
      </c>
      <c r="J31" s="35"/>
      <c r="K31" s="37" t="n">
        <v>0.9</v>
      </c>
    </row>
    <row r="32">
      <c r="A32" s="35" t="s">
        <v>47</v>
      </c>
      <c r="B32" s="34" t="s">
        <v>47</v>
      </c>
      <c r="C32" s="35" t="s">
        <v>47</v>
      </c>
      <c r="D32" s="35" t="s">
        <v>49</v>
      </c>
      <c r="E32" s="34" t="s">
        <v>50</v>
      </c>
      <c r="F32" s="35" t="s">
        <v>47</v>
      </c>
      <c r="G32" s="34" t="s">
        <v>53</v>
      </c>
      <c r="H32" s="34" t="s">
        <v>47</v>
      </c>
      <c r="I32" s="35" t="n">
        <v>1.0</v>
      </c>
      <c r="J32" s="35"/>
      <c r="K32" s="37" t="n">
        <v>0.9</v>
      </c>
    </row>
    <row r="33">
      <c r="A33" s="35" t="s">
        <v>47</v>
      </c>
      <c r="B33" s="34" t="s">
        <v>47</v>
      </c>
      <c r="C33" s="35" t="s">
        <v>47</v>
      </c>
      <c r="D33" s="35" t="s">
        <v>49</v>
      </c>
      <c r="E33" s="34" t="s">
        <v>54</v>
      </c>
      <c r="F33" s="35" t="s">
        <v>47</v>
      </c>
      <c r="G33" s="34" t="s">
        <v>55</v>
      </c>
      <c r="H33" s="34" t="s">
        <v>47</v>
      </c>
      <c r="I33" s="35" t="n">
        <v>4.0</v>
      </c>
      <c r="J33" s="35"/>
      <c r="K33" s="37" t="n">
        <v>0.3</v>
      </c>
    </row>
    <row r="34">
      <c r="A34" s="35" t="s">
        <v>47</v>
      </c>
      <c r="B34" s="34" t="s">
        <v>47</v>
      </c>
      <c r="C34" s="35" t="s">
        <v>47</v>
      </c>
      <c r="D34" s="35" t="s">
        <v>49</v>
      </c>
      <c r="E34" s="34" t="s">
        <v>56</v>
      </c>
      <c r="F34" s="35" t="s">
        <v>47</v>
      </c>
      <c r="G34" s="34" t="s">
        <v>57</v>
      </c>
      <c r="H34" s="34" t="s">
        <v>47</v>
      </c>
      <c r="I34" s="35" t="n">
        <v>4.0</v>
      </c>
      <c r="J34" s="35"/>
      <c r="K34" s="37" t="n">
        <v>0.4</v>
      </c>
    </row>
    <row r="35">
      <c r="A35" s="35" t="s">
        <v>47</v>
      </c>
      <c r="B35" s="34" t="s">
        <v>47</v>
      </c>
      <c r="C35" s="35" t="s">
        <v>47</v>
      </c>
      <c r="D35" s="35" t="s">
        <v>49</v>
      </c>
      <c r="E35" s="34" t="s">
        <v>58</v>
      </c>
      <c r="F35" s="35" t="s">
        <v>47</v>
      </c>
      <c r="G35" s="34" t="s">
        <v>59</v>
      </c>
      <c r="H35" s="34" t="s">
        <v>47</v>
      </c>
      <c r="I35" s="35" t="n">
        <v>6.0</v>
      </c>
      <c r="J35" s="35"/>
      <c r="K35" s="37" t="n">
        <v>0.5</v>
      </c>
    </row>
    <row r="36">
      <c r="A36" s="35" t="s">
        <v>47</v>
      </c>
      <c r="B36" s="34" t="s">
        <v>47</v>
      </c>
      <c r="C36" s="35" t="s">
        <v>47</v>
      </c>
      <c r="D36" s="35" t="s">
        <v>49</v>
      </c>
      <c r="E36" s="34" t="s">
        <v>60</v>
      </c>
      <c r="F36" s="35" t="s">
        <v>47</v>
      </c>
      <c r="G36" s="34" t="s">
        <v>57</v>
      </c>
      <c r="H36" s="34" t="s">
        <v>47</v>
      </c>
      <c r="I36" s="35" t="n">
        <v>4.0</v>
      </c>
      <c r="J36" s="35"/>
      <c r="K36" s="37" t="n">
        <v>0.4</v>
      </c>
    </row>
    <row r="37">
      <c r="A37" s="35" t="s">
        <v>47</v>
      </c>
      <c r="B37" s="34" t="s">
        <v>47</v>
      </c>
      <c r="C37" s="35" t="s">
        <v>47</v>
      </c>
      <c r="D37" s="35" t="s">
        <v>49</v>
      </c>
      <c r="E37" s="34" t="s">
        <v>61</v>
      </c>
      <c r="F37" s="35" t="s">
        <v>47</v>
      </c>
      <c r="G37" s="34" t="s">
        <v>62</v>
      </c>
      <c r="H37" s="34" t="s">
        <v>47</v>
      </c>
      <c r="I37" s="35" t="n">
        <v>5.0</v>
      </c>
      <c r="J37" s="35"/>
      <c r="K37" s="37" t="n">
        <v>1.5</v>
      </c>
    </row>
    <row r="38">
      <c r="A38" s="35" t="s">
        <v>47</v>
      </c>
      <c r="B38" s="34" t="s">
        <v>47</v>
      </c>
      <c r="C38" s="35" t="s">
        <v>47</v>
      </c>
      <c r="D38" s="35" t="s">
        <v>49</v>
      </c>
      <c r="E38" s="34" t="s">
        <v>63</v>
      </c>
      <c r="F38" s="35" t="s">
        <v>47</v>
      </c>
      <c r="G38" s="34" t="s">
        <v>64</v>
      </c>
      <c r="H38" s="34" t="s">
        <v>47</v>
      </c>
      <c r="I38" s="35" t="n">
        <v>6.0</v>
      </c>
      <c r="J38" s="35"/>
      <c r="K38" s="37" t="n">
        <v>0.7</v>
      </c>
    </row>
    <row r="39">
      <c r="A39" s="35" t="s">
        <v>47</v>
      </c>
      <c r="B39" s="34" t="s">
        <v>47</v>
      </c>
      <c r="C39" s="35" t="s">
        <v>47</v>
      </c>
      <c r="D39" s="35" t="s">
        <v>49</v>
      </c>
      <c r="E39" s="34" t="s">
        <v>65</v>
      </c>
      <c r="F39" s="35" t="s">
        <v>47</v>
      </c>
      <c r="G39" s="34" t="s">
        <v>66</v>
      </c>
      <c r="H39" s="34" t="s">
        <v>47</v>
      </c>
      <c r="I39" s="35" t="n">
        <v>6.0</v>
      </c>
      <c r="J39" s="35"/>
      <c r="K39" s="37" t="n">
        <v>1.7</v>
      </c>
    </row>
    <row r="40">
      <c r="A40" s="35" t="s">
        <v>47</v>
      </c>
      <c r="B40" s="34" t="s">
        <v>47</v>
      </c>
      <c r="C40" s="35" t="s">
        <v>47</v>
      </c>
      <c r="D40" s="35" t="s">
        <v>49</v>
      </c>
      <c r="E40" s="34" t="s">
        <v>67</v>
      </c>
      <c r="F40" s="35" t="s">
        <v>47</v>
      </c>
      <c r="G40" s="34" t="s">
        <v>68</v>
      </c>
      <c r="H40" s="34" t="s">
        <v>47</v>
      </c>
      <c r="I40" s="35" t="n">
        <v>6.0</v>
      </c>
      <c r="J40" s="35"/>
      <c r="K40" s="37" t="n">
        <v>2.0</v>
      </c>
    </row>
    <row r="41">
      <c r="A41" s="35" t="s">
        <v>47</v>
      </c>
      <c r="B41" s="34" t="s">
        <v>47</v>
      </c>
      <c r="C41" s="35" t="s">
        <v>47</v>
      </c>
      <c r="D41" s="35" t="s">
        <v>49</v>
      </c>
      <c r="E41" s="34" t="s">
        <v>69</v>
      </c>
      <c r="F41" s="35" t="s">
        <v>47</v>
      </c>
      <c r="G41" s="34" t="s">
        <v>70</v>
      </c>
      <c r="H41" s="34" t="s">
        <v>47</v>
      </c>
      <c r="I41" s="35" t="n">
        <v>4.0</v>
      </c>
      <c r="J41" s="35"/>
      <c r="K41" s="37" t="n">
        <v>0.4</v>
      </c>
    </row>
    <row r="42">
      <c r="A42" s="35" t="s">
        <v>47</v>
      </c>
      <c r="B42" s="34" t="s">
        <v>47</v>
      </c>
      <c r="C42" s="35" t="s">
        <v>47</v>
      </c>
      <c r="D42" s="35" t="s">
        <v>49</v>
      </c>
      <c r="E42" s="34" t="s">
        <v>71</v>
      </c>
      <c r="F42" s="35" t="s">
        <v>47</v>
      </c>
      <c r="G42" s="34" t="s">
        <v>72</v>
      </c>
      <c r="H42" s="34" t="s">
        <v>47</v>
      </c>
      <c r="I42" s="35" t="n">
        <v>5.0</v>
      </c>
      <c r="J42" s="35"/>
      <c r="K42" s="37" t="n">
        <v>0.6</v>
      </c>
    </row>
    <row r="43">
      <c r="A43" s="35" t="s">
        <v>47</v>
      </c>
      <c r="B43" s="34" t="s">
        <v>47</v>
      </c>
      <c r="C43" s="35" t="s">
        <v>47</v>
      </c>
      <c r="D43" s="35" t="s">
        <v>49</v>
      </c>
      <c r="E43" s="34" t="s">
        <v>73</v>
      </c>
      <c r="F43" s="35" t="s">
        <v>47</v>
      </c>
      <c r="G43" s="34" t="s">
        <v>57</v>
      </c>
      <c r="H43" s="34" t="s">
        <v>47</v>
      </c>
      <c r="I43" s="35" t="n">
        <v>4.0</v>
      </c>
      <c r="J43" s="35"/>
      <c r="K43" s="37" t="n">
        <v>0.4</v>
      </c>
    </row>
    <row r="44">
      <c r="A44" s="35" t="s">
        <v>47</v>
      </c>
      <c r="B44" s="34" t="s">
        <v>47</v>
      </c>
      <c r="C44" s="35" t="s">
        <v>47</v>
      </c>
      <c r="D44" s="35" t="s">
        <v>49</v>
      </c>
      <c r="E44" s="34" t="s">
        <v>74</v>
      </c>
      <c r="F44" s="35" t="s">
        <v>47</v>
      </c>
      <c r="G44" s="34" t="s">
        <v>75</v>
      </c>
      <c r="H44" s="34" t="s">
        <v>47</v>
      </c>
      <c r="I44" s="35" t="n">
        <v>5.0</v>
      </c>
      <c r="J44" s="35"/>
      <c r="K44" s="37" t="n">
        <v>0.4</v>
      </c>
    </row>
    <row r="45">
      <c r="A45" s="35" t="s">
        <v>47</v>
      </c>
      <c r="B45" s="34" t="s">
        <v>47</v>
      </c>
      <c r="C45" s="35" t="s">
        <v>47</v>
      </c>
      <c r="D45" s="35" t="s">
        <v>49</v>
      </c>
      <c r="E45" s="34" t="s">
        <v>76</v>
      </c>
      <c r="F45" s="35" t="s">
        <v>47</v>
      </c>
      <c r="G45" s="34" t="s">
        <v>57</v>
      </c>
      <c r="H45" s="34" t="s">
        <v>47</v>
      </c>
      <c r="I45" s="35" t="n">
        <v>4.0</v>
      </c>
      <c r="J45" s="35"/>
      <c r="K45" s="37" t="n">
        <v>0.2</v>
      </c>
    </row>
    <row r="46">
      <c r="A46" s="35" t="s">
        <v>47</v>
      </c>
      <c r="B46" s="34" t="s">
        <v>47</v>
      </c>
      <c r="C46" s="35" t="s">
        <v>47</v>
      </c>
      <c r="D46" s="35" t="s">
        <v>49</v>
      </c>
      <c r="E46" s="34" t="s">
        <v>77</v>
      </c>
      <c r="F46" s="35" t="s">
        <v>47</v>
      </c>
      <c r="G46" s="34" t="s">
        <v>78</v>
      </c>
      <c r="H46" s="34" t="s">
        <v>47</v>
      </c>
      <c r="I46" s="35" t="n">
        <v>6.0</v>
      </c>
      <c r="J46" s="35"/>
      <c r="K46" s="37" t="n">
        <v>0.7</v>
      </c>
    </row>
    <row r="47">
      <c r="A47" s="35" t="s">
        <v>47</v>
      </c>
      <c r="B47" s="34" t="s">
        <v>47</v>
      </c>
      <c r="C47" s="35" t="s">
        <v>47</v>
      </c>
      <c r="D47" s="35" t="s">
        <v>79</v>
      </c>
      <c r="E47" s="34" t="s">
        <v>80</v>
      </c>
      <c r="F47" s="35" t="s">
        <v>47</v>
      </c>
      <c r="G47" s="34" t="s">
        <v>47</v>
      </c>
      <c r="H47" s="34" t="s">
        <v>47</v>
      </c>
      <c r="I47" s="35" t="n">
        <v>4.0</v>
      </c>
      <c r="J47" s="35"/>
      <c r="K47" s="37" t="n">
        <v>2.0</v>
      </c>
    </row>
    <row r="48">
      <c r="A48" s="35" t="s">
        <v>47</v>
      </c>
      <c r="B48" s="34" t="s">
        <v>47</v>
      </c>
      <c r="C48" s="35" t="s">
        <v>47</v>
      </c>
      <c r="D48" s="35" t="s">
        <v>47</v>
      </c>
      <c r="E48" s="34" t="s">
        <v>47</v>
      </c>
      <c r="F48" s="35" t="n">
        <v>0.0</v>
      </c>
      <c r="G48" s="34" t="s">
        <v>81</v>
      </c>
      <c r="H48" s="34" t="s">
        <v>47</v>
      </c>
      <c r="I48" s="35"/>
      <c r="J48" s="35"/>
      <c r="K48" s="37"/>
    </row>
    <row r="49">
      <c r="A49" s="35" t="s">
        <v>47</v>
      </c>
      <c r="B49" s="34" t="s">
        <v>47</v>
      </c>
      <c r="C49" s="35" t="s">
        <v>47</v>
      </c>
      <c r="D49" s="35" t="s">
        <v>47</v>
      </c>
      <c r="E49" s="34" t="s">
        <v>47</v>
      </c>
      <c r="F49" s="35" t="n">
        <v>1.0</v>
      </c>
      <c r="G49" s="34" t="s">
        <v>82</v>
      </c>
      <c r="H49" s="34" t="s">
        <v>47</v>
      </c>
      <c r="I49" s="35"/>
      <c r="J49" s="35"/>
      <c r="K49" s="37"/>
    </row>
    <row r="50">
      <c r="A50" s="35" t="s">
        <v>47</v>
      </c>
      <c r="B50" s="34" t="s">
        <v>47</v>
      </c>
      <c r="C50" s="35" t="s">
        <v>47</v>
      </c>
      <c r="D50" s="35" t="s">
        <v>47</v>
      </c>
      <c r="E50" s="34" t="s">
        <v>47</v>
      </c>
      <c r="F50" s="35" t="n">
        <v>2.0</v>
      </c>
      <c r="G50" s="34" t="s">
        <v>83</v>
      </c>
      <c r="H50" s="34" t="s">
        <v>47</v>
      </c>
      <c r="I50" s="35"/>
      <c r="J50" s="35"/>
      <c r="K50" s="37"/>
    </row>
    <row r="51">
      <c r="A51" s="35" t="s">
        <v>47</v>
      </c>
      <c r="B51" s="34" t="s">
        <v>47</v>
      </c>
      <c r="C51" s="35" t="s">
        <v>47</v>
      </c>
      <c r="D51" s="35" t="s">
        <v>47</v>
      </c>
      <c r="E51" s="34" t="s">
        <v>47</v>
      </c>
      <c r="F51" s="35" t="n">
        <v>3.0</v>
      </c>
      <c r="G51" s="34" t="s">
        <v>84</v>
      </c>
      <c r="H51" s="34" t="s">
        <v>47</v>
      </c>
      <c r="I51" s="35"/>
      <c r="J51" s="35"/>
      <c r="K51" s="37"/>
    </row>
    <row r="52">
      <c r="A52" s="35" t="s">
        <v>85</v>
      </c>
      <c r="B52" s="34" t="s">
        <v>86</v>
      </c>
      <c r="C52" s="35" t="s">
        <v>48</v>
      </c>
      <c r="D52" s="34" t="s">
        <v>47</v>
      </c>
      <c r="E52" s="34" t="s">
        <v>47</v>
      </c>
      <c r="F52" s="34" t="s">
        <v>47</v>
      </c>
      <c r="G52" s="34" t="s">
        <v>47</v>
      </c>
      <c r="H52" s="34" t="s">
        <v>47</v>
      </c>
      <c r="I52" s="34" t="s">
        <v>47</v>
      </c>
      <c r="J52" s="34" t="s">
        <v>47</v>
      </c>
      <c r="K52" s="34" t="s">
        <v>47</v>
      </c>
    </row>
    <row r="53">
      <c r="A53" s="35" t="s">
        <v>47</v>
      </c>
      <c r="B53" s="34" t="s">
        <v>47</v>
      </c>
      <c r="C53" s="35" t="s">
        <v>47</v>
      </c>
      <c r="D53" s="35" t="s">
        <v>49</v>
      </c>
      <c r="E53" s="34" t="s">
        <v>50</v>
      </c>
      <c r="F53" s="35" t="s">
        <v>47</v>
      </c>
      <c r="G53" s="34" t="s">
        <v>51</v>
      </c>
      <c r="H53" s="34" t="s">
        <v>47</v>
      </c>
      <c r="I53" s="35" t="n">
        <v>3.0</v>
      </c>
      <c r="J53" s="35"/>
      <c r="K53" s="37" t="n">
        <v>1.0</v>
      </c>
    </row>
    <row r="54">
      <c r="A54" s="35" t="s">
        <v>47</v>
      </c>
      <c r="B54" s="34" t="s">
        <v>47</v>
      </c>
      <c r="C54" s="35" t="s">
        <v>47</v>
      </c>
      <c r="D54" s="35" t="s">
        <v>49</v>
      </c>
      <c r="E54" s="34" t="s">
        <v>50</v>
      </c>
      <c r="F54" s="35" t="s">
        <v>47</v>
      </c>
      <c r="G54" s="34" t="s">
        <v>52</v>
      </c>
      <c r="H54" s="34" t="s">
        <v>47</v>
      </c>
      <c r="I54" s="35" t="n">
        <v>2.0</v>
      </c>
      <c r="J54" s="35"/>
      <c r="K54" s="37" t="n">
        <v>0.9</v>
      </c>
    </row>
    <row r="55">
      <c r="A55" s="35" t="s">
        <v>47</v>
      </c>
      <c r="B55" s="34" t="s">
        <v>47</v>
      </c>
      <c r="C55" s="35" t="s">
        <v>47</v>
      </c>
      <c r="D55" s="35" t="s">
        <v>49</v>
      </c>
      <c r="E55" s="34" t="s">
        <v>50</v>
      </c>
      <c r="F55" s="35" t="s">
        <v>47</v>
      </c>
      <c r="G55" s="34" t="s">
        <v>53</v>
      </c>
      <c r="H55" s="34" t="s">
        <v>47</v>
      </c>
      <c r="I55" s="35" t="n">
        <v>1.0</v>
      </c>
      <c r="J55" s="35"/>
      <c r="K55" s="37" t="n">
        <v>0.9</v>
      </c>
    </row>
    <row r="56">
      <c r="A56" s="35" t="s">
        <v>47</v>
      </c>
      <c r="B56" s="34" t="s">
        <v>47</v>
      </c>
      <c r="C56" s="35" t="s">
        <v>47</v>
      </c>
      <c r="D56" s="35" t="s">
        <v>49</v>
      </c>
      <c r="E56" s="34" t="s">
        <v>54</v>
      </c>
      <c r="F56" s="35" t="s">
        <v>47</v>
      </c>
      <c r="G56" s="34" t="s">
        <v>87</v>
      </c>
      <c r="H56" s="34" t="s">
        <v>47</v>
      </c>
      <c r="I56" s="35" t="n">
        <v>4.0</v>
      </c>
      <c r="J56" s="35"/>
      <c r="K56" s="37" t="n">
        <v>0.5</v>
      </c>
    </row>
    <row r="57">
      <c r="A57" s="35" t="s">
        <v>47</v>
      </c>
      <c r="B57" s="34" t="s">
        <v>47</v>
      </c>
      <c r="C57" s="35" t="s">
        <v>47</v>
      </c>
      <c r="D57" s="35" t="s">
        <v>49</v>
      </c>
      <c r="E57" s="34" t="s">
        <v>56</v>
      </c>
      <c r="F57" s="35" t="s">
        <v>47</v>
      </c>
      <c r="G57" s="34" t="s">
        <v>57</v>
      </c>
      <c r="H57" s="34" t="s">
        <v>47</v>
      </c>
      <c r="I57" s="35" t="n">
        <v>4.0</v>
      </c>
      <c r="J57" s="35"/>
      <c r="K57" s="37" t="n">
        <v>0.4</v>
      </c>
    </row>
    <row r="58">
      <c r="A58" s="35" t="s">
        <v>47</v>
      </c>
      <c r="B58" s="34" t="s">
        <v>47</v>
      </c>
      <c r="C58" s="35" t="s">
        <v>47</v>
      </c>
      <c r="D58" s="35" t="s">
        <v>49</v>
      </c>
      <c r="E58" s="34" t="s">
        <v>88</v>
      </c>
      <c r="F58" s="35" t="s">
        <v>47</v>
      </c>
      <c r="G58" s="34" t="s">
        <v>89</v>
      </c>
      <c r="H58" s="34" t="s">
        <v>47</v>
      </c>
      <c r="I58" s="35" t="n">
        <v>6.0</v>
      </c>
      <c r="J58" s="35"/>
      <c r="K58" s="37" t="n">
        <v>1.4</v>
      </c>
    </row>
    <row r="59">
      <c r="A59" s="35" t="s">
        <v>47</v>
      </c>
      <c r="B59" s="34" t="s">
        <v>47</v>
      </c>
      <c r="C59" s="35" t="s">
        <v>47</v>
      </c>
      <c r="D59" s="35" t="s">
        <v>49</v>
      </c>
      <c r="E59" s="34" t="s">
        <v>90</v>
      </c>
      <c r="F59" s="35" t="s">
        <v>47</v>
      </c>
      <c r="G59" s="34" t="s">
        <v>91</v>
      </c>
      <c r="H59" s="34" t="s">
        <v>47</v>
      </c>
      <c r="I59" s="35" t="n">
        <v>5.0</v>
      </c>
      <c r="J59" s="35"/>
      <c r="K59" s="37" t="n">
        <v>0.8</v>
      </c>
    </row>
    <row r="60">
      <c r="A60" s="35" t="s">
        <v>47</v>
      </c>
      <c r="B60" s="34" t="s">
        <v>47</v>
      </c>
      <c r="C60" s="35" t="s">
        <v>47</v>
      </c>
      <c r="D60" s="35" t="s">
        <v>49</v>
      </c>
      <c r="E60" s="34" t="s">
        <v>92</v>
      </c>
      <c r="F60" s="35" t="s">
        <v>47</v>
      </c>
      <c r="G60" s="34" t="s">
        <v>57</v>
      </c>
      <c r="H60" s="34" t="s">
        <v>47</v>
      </c>
      <c r="I60" s="35" t="n">
        <v>4.0</v>
      </c>
      <c r="J60" s="35"/>
      <c r="K60" s="37" t="n">
        <v>0.4</v>
      </c>
    </row>
    <row r="61">
      <c r="A61" s="35" t="s">
        <v>47</v>
      </c>
      <c r="B61" s="34" t="s">
        <v>47</v>
      </c>
      <c r="C61" s="35" t="s">
        <v>47</v>
      </c>
      <c r="D61" s="35" t="s">
        <v>49</v>
      </c>
      <c r="E61" s="34" t="s">
        <v>93</v>
      </c>
      <c r="F61" s="35" t="s">
        <v>47</v>
      </c>
      <c r="G61" s="34" t="s">
        <v>94</v>
      </c>
      <c r="H61" s="34" t="s">
        <v>47</v>
      </c>
      <c r="I61" s="35" t="n">
        <v>5.0</v>
      </c>
      <c r="J61" s="35"/>
      <c r="K61" s="37" t="n">
        <v>1.8</v>
      </c>
    </row>
    <row r="62">
      <c r="A62" s="35" t="s">
        <v>47</v>
      </c>
      <c r="B62" s="34" t="s">
        <v>47</v>
      </c>
      <c r="C62" s="35" t="s">
        <v>47</v>
      </c>
      <c r="D62" s="35" t="s">
        <v>49</v>
      </c>
      <c r="E62" s="34" t="s">
        <v>95</v>
      </c>
      <c r="F62" s="35" t="s">
        <v>47</v>
      </c>
      <c r="G62" s="34" t="s">
        <v>96</v>
      </c>
      <c r="H62" s="34" t="s">
        <v>47</v>
      </c>
      <c r="I62" s="35" t="n">
        <v>6.0</v>
      </c>
      <c r="J62" s="35"/>
      <c r="K62" s="37" t="n">
        <v>1.5</v>
      </c>
    </row>
    <row r="63">
      <c r="A63" s="35" t="s">
        <v>47</v>
      </c>
      <c r="B63" s="34" t="s">
        <v>47</v>
      </c>
      <c r="C63" s="35" t="s">
        <v>47</v>
      </c>
      <c r="D63" s="35" t="s">
        <v>49</v>
      </c>
      <c r="E63" s="34" t="s">
        <v>97</v>
      </c>
      <c r="F63" s="35" t="s">
        <v>47</v>
      </c>
      <c r="G63" s="34" t="s">
        <v>57</v>
      </c>
      <c r="H63" s="34" t="s">
        <v>47</v>
      </c>
      <c r="I63" s="35" t="n">
        <v>4.0</v>
      </c>
      <c r="J63" s="35"/>
      <c r="K63" s="37" t="n">
        <v>0.4</v>
      </c>
    </row>
    <row r="64">
      <c r="A64" s="35" t="s">
        <v>47</v>
      </c>
      <c r="B64" s="34" t="s">
        <v>47</v>
      </c>
      <c r="C64" s="35" t="s">
        <v>47</v>
      </c>
      <c r="D64" s="35" t="s">
        <v>49</v>
      </c>
      <c r="E64" s="34" t="s">
        <v>98</v>
      </c>
      <c r="F64" s="35" t="s">
        <v>47</v>
      </c>
      <c r="G64" s="34" t="s">
        <v>99</v>
      </c>
      <c r="H64" s="34" t="s">
        <v>47</v>
      </c>
      <c r="I64" s="35" t="n">
        <v>5.0</v>
      </c>
      <c r="J64" s="35"/>
      <c r="K64" s="37" t="n">
        <v>0.9</v>
      </c>
    </row>
    <row r="65">
      <c r="A65" s="35" t="s">
        <v>47</v>
      </c>
      <c r="B65" s="34" t="s">
        <v>47</v>
      </c>
      <c r="C65" s="35" t="s">
        <v>47</v>
      </c>
      <c r="D65" s="35" t="s">
        <v>49</v>
      </c>
      <c r="E65" s="34" t="s">
        <v>100</v>
      </c>
      <c r="F65" s="35" t="s">
        <v>47</v>
      </c>
      <c r="G65" s="34" t="s">
        <v>101</v>
      </c>
      <c r="H65" s="34" t="s">
        <v>47</v>
      </c>
      <c r="I65" s="35" t="n">
        <v>6.0</v>
      </c>
      <c r="J65" s="35"/>
      <c r="K65" s="37" t="n">
        <v>0.9</v>
      </c>
    </row>
    <row r="66">
      <c r="A66" s="35" t="s">
        <v>47</v>
      </c>
      <c r="B66" s="34" t="s">
        <v>47</v>
      </c>
      <c r="C66" s="35" t="s">
        <v>47</v>
      </c>
      <c r="D66" s="35" t="s">
        <v>49</v>
      </c>
      <c r="E66" s="34" t="s">
        <v>102</v>
      </c>
      <c r="F66" s="35" t="s">
        <v>47</v>
      </c>
      <c r="G66" s="34" t="s">
        <v>57</v>
      </c>
      <c r="H66" s="34" t="s">
        <v>47</v>
      </c>
      <c r="I66" s="35" t="n">
        <v>4.0</v>
      </c>
      <c r="J66" s="35"/>
      <c r="K66" s="37" t="n">
        <v>0.4</v>
      </c>
    </row>
    <row r="67">
      <c r="A67" s="35" t="s">
        <v>47</v>
      </c>
      <c r="B67" s="34" t="s">
        <v>47</v>
      </c>
      <c r="C67" s="35" t="s">
        <v>47</v>
      </c>
      <c r="D67" s="35" t="s">
        <v>49</v>
      </c>
      <c r="E67" s="34" t="s">
        <v>103</v>
      </c>
      <c r="F67" s="35" t="s">
        <v>47</v>
      </c>
      <c r="G67" s="34" t="s">
        <v>104</v>
      </c>
      <c r="H67" s="34" t="s">
        <v>47</v>
      </c>
      <c r="I67" s="35" t="n">
        <v>6.0</v>
      </c>
      <c r="J67" s="35"/>
      <c r="K67" s="37" t="n">
        <v>0.8</v>
      </c>
    </row>
    <row r="68">
      <c r="A68" s="35" t="s">
        <v>47</v>
      </c>
      <c r="B68" s="34" t="s">
        <v>47</v>
      </c>
      <c r="C68" s="35" t="s">
        <v>47</v>
      </c>
      <c r="D68" s="35" t="s">
        <v>79</v>
      </c>
      <c r="E68" s="34" t="s">
        <v>105</v>
      </c>
      <c r="F68" s="35" t="s">
        <v>47</v>
      </c>
      <c r="G68" s="34" t="s">
        <v>47</v>
      </c>
      <c r="H68" s="34" t="s">
        <v>47</v>
      </c>
      <c r="I68" s="35" t="n">
        <v>4.0</v>
      </c>
      <c r="J68" s="35"/>
      <c r="K68" s="37" t="n">
        <v>2.0</v>
      </c>
    </row>
    <row r="69">
      <c r="A69" s="35" t="s">
        <v>47</v>
      </c>
      <c r="B69" s="34" t="s">
        <v>47</v>
      </c>
      <c r="C69" s="35" t="s">
        <v>47</v>
      </c>
      <c r="D69" s="35" t="s">
        <v>47</v>
      </c>
      <c r="E69" s="34" t="s">
        <v>47</v>
      </c>
      <c r="F69" s="35" t="n">
        <v>0.0</v>
      </c>
      <c r="G69" s="34" t="s">
        <v>106</v>
      </c>
      <c r="H69" s="34" t="s">
        <v>47</v>
      </c>
      <c r="I69" s="35"/>
      <c r="J69" s="35"/>
      <c r="K69" s="37"/>
    </row>
    <row r="70">
      <c r="A70" s="35" t="s">
        <v>47</v>
      </c>
      <c r="B70" s="34" t="s">
        <v>47</v>
      </c>
      <c r="C70" s="35" t="s">
        <v>47</v>
      </c>
      <c r="D70" s="35" t="s">
        <v>47</v>
      </c>
      <c r="E70" s="34" t="s">
        <v>47</v>
      </c>
      <c r="F70" s="35" t="n">
        <v>1.0</v>
      </c>
      <c r="G70" s="34" t="s">
        <v>107</v>
      </c>
      <c r="H70" s="34" t="s">
        <v>47</v>
      </c>
      <c r="I70" s="35"/>
      <c r="J70" s="35"/>
      <c r="K70" s="37"/>
    </row>
    <row r="71">
      <c r="A71" s="35" t="s">
        <v>47</v>
      </c>
      <c r="B71" s="34" t="s">
        <v>47</v>
      </c>
      <c r="C71" s="35" t="s">
        <v>47</v>
      </c>
      <c r="D71" s="35" t="s">
        <v>47</v>
      </c>
      <c r="E71" s="34" t="s">
        <v>47</v>
      </c>
      <c r="F71" s="35" t="n">
        <v>2.0</v>
      </c>
      <c r="G71" s="34" t="s">
        <v>108</v>
      </c>
      <c r="H71" s="34" t="s">
        <v>47</v>
      </c>
      <c r="I71" s="35"/>
      <c r="J71" s="35"/>
      <c r="K71" s="37"/>
    </row>
    <row r="72">
      <c r="A72" s="35" t="s">
        <v>47</v>
      </c>
      <c r="B72" s="34" t="s">
        <v>47</v>
      </c>
      <c r="C72" s="35" t="s">
        <v>47</v>
      </c>
      <c r="D72" s="35" t="s">
        <v>47</v>
      </c>
      <c r="E72" s="34" t="s">
        <v>47</v>
      </c>
      <c r="F72" s="35" t="n">
        <v>3.0</v>
      </c>
      <c r="G72" s="34" t="s">
        <v>109</v>
      </c>
      <c r="H72" s="34" t="s">
        <v>47</v>
      </c>
      <c r="I72" s="35"/>
      <c r="J72" s="35"/>
      <c r="K72" s="37"/>
    </row>
    <row r="73">
      <c r="A73" s="35" t="s">
        <v>47</v>
      </c>
      <c r="B73" s="34" t="s">
        <v>47</v>
      </c>
      <c r="C73" s="35" t="s">
        <v>47</v>
      </c>
      <c r="D73" s="35" t="s">
        <v>47</v>
      </c>
      <c r="E73" s="34" t="s">
        <v>47</v>
      </c>
      <c r="F73" s="35" t="s">
        <v>47</v>
      </c>
      <c r="G73" s="34" t="s">
        <v>47</v>
      </c>
      <c r="H73" s="34" t="s">
        <v>47</v>
      </c>
      <c r="I73" s="35"/>
      <c r="J73" s="35"/>
      <c r="K73" s="37"/>
    </row>
    <row r="74">
      <c r="A74" s="35" t="s">
        <v>47</v>
      </c>
      <c r="B74" s="34" t="s">
        <v>47</v>
      </c>
      <c r="C74" s="35" t="s">
        <v>47</v>
      </c>
      <c r="D74" s="35" t="s">
        <v>47</v>
      </c>
      <c r="E74" s="34" t="s">
        <v>47</v>
      </c>
      <c r="F74" s="35" t="s">
        <v>47</v>
      </c>
      <c r="G74" s="34" t="s">
        <v>47</v>
      </c>
      <c r="H74" s="34" t="s">
        <v>47</v>
      </c>
      <c r="I74" s="35"/>
      <c r="J74" s="35"/>
      <c r="K74" s="37"/>
    </row>
    <row r="75">
      <c r="A75" s="44" t="s">
        <v>15</v>
      </c>
      <c r="B75" s="45" t="s">
        <v>16</v>
      </c>
      <c r="C75" s="46" t="s">
        <v>10</v>
      </c>
      <c r="D75" s="47" t="s">
        <v>6</v>
      </c>
      <c r="E75" s="48" t="s">
        <v>1</v>
      </c>
      <c r="F75" s="49" t="s">
        <v>2</v>
      </c>
      <c r="G75" s="50" t="s">
        <v>8</v>
      </c>
      <c r="H75" s="51" t="s">
        <v>9</v>
      </c>
      <c r="I75" s="52" t="s">
        <v>23</v>
      </c>
      <c r="J75" s="53" t="s">
        <v>11</v>
      </c>
      <c r="K75" s="54" t="s">
        <v>3</v>
      </c>
      <c r="L75" s="55" t="s">
        <v>110</v>
      </c>
      <c r="M75" s="56" t="s">
        <v>4</v>
      </c>
      <c r="N75" s="57">
        <f>SUM(K76:K133)</f>
      </c>
    </row>
    <row r="76">
      <c r="A76" s="35" t="s">
        <v>111</v>
      </c>
      <c r="B76" s="34" t="s">
        <v>112</v>
      </c>
      <c r="C76" s="35" t="s">
        <v>113</v>
      </c>
      <c r="D76" s="34" t="s">
        <v>47</v>
      </c>
      <c r="E76" s="34" t="s">
        <v>47</v>
      </c>
      <c r="F76" s="34" t="s">
        <v>47</v>
      </c>
      <c r="G76" s="34" t="s">
        <v>47</v>
      </c>
      <c r="H76" s="34" t="s">
        <v>47</v>
      </c>
      <c r="I76" s="34" t="s">
        <v>47</v>
      </c>
      <c r="J76" s="34" t="s">
        <v>47</v>
      </c>
      <c r="K76" s="34" t="s">
        <v>47</v>
      </c>
    </row>
    <row r="77">
      <c r="A77" s="35" t="s">
        <v>47</v>
      </c>
      <c r="B77" s="34" t="s">
        <v>47</v>
      </c>
      <c r="C77" s="35" t="s">
        <v>47</v>
      </c>
      <c r="D77" s="35" t="s">
        <v>49</v>
      </c>
      <c r="E77" s="34" t="s">
        <v>114</v>
      </c>
      <c r="F77" s="35" t="s">
        <v>47</v>
      </c>
      <c r="G77" s="34" t="s">
        <v>51</v>
      </c>
      <c r="H77" s="34" t="s">
        <v>47</v>
      </c>
      <c r="I77" s="35" t="n">
        <v>3.0</v>
      </c>
      <c r="J77" s="35"/>
      <c r="K77" s="37" t="n">
        <v>1.0</v>
      </c>
    </row>
    <row r="78">
      <c r="A78" s="35" t="s">
        <v>47</v>
      </c>
      <c r="B78" s="34" t="s">
        <v>47</v>
      </c>
      <c r="C78" s="35" t="s">
        <v>47</v>
      </c>
      <c r="D78" s="35" t="s">
        <v>49</v>
      </c>
      <c r="E78" s="34" t="s">
        <v>115</v>
      </c>
      <c r="F78" s="35" t="s">
        <v>47</v>
      </c>
      <c r="G78" s="34" t="s">
        <v>52</v>
      </c>
      <c r="H78" s="34" t="s">
        <v>47</v>
      </c>
      <c r="I78" s="35" t="n">
        <v>2.0</v>
      </c>
      <c r="J78" s="35"/>
      <c r="K78" s="37" t="n">
        <v>0.9</v>
      </c>
    </row>
    <row r="79">
      <c r="A79" s="35" t="s">
        <v>47</v>
      </c>
      <c r="B79" s="34" t="s">
        <v>47</v>
      </c>
      <c r="C79" s="35" t="s">
        <v>47</v>
      </c>
      <c r="D79" s="35" t="s">
        <v>49</v>
      </c>
      <c r="E79" s="34" t="s">
        <v>116</v>
      </c>
      <c r="F79" s="35" t="s">
        <v>47</v>
      </c>
      <c r="G79" s="34" t="s">
        <v>53</v>
      </c>
      <c r="H79" s="34" t="s">
        <v>47</v>
      </c>
      <c r="I79" s="35" t="n">
        <v>1.0</v>
      </c>
      <c r="J79" s="35"/>
      <c r="K79" s="37" t="n">
        <v>0.9</v>
      </c>
    </row>
    <row r="80">
      <c r="A80" s="35" t="s">
        <v>47</v>
      </c>
      <c r="B80" s="34" t="s">
        <v>47</v>
      </c>
      <c r="C80" s="35" t="s">
        <v>47</v>
      </c>
      <c r="D80" s="35" t="s">
        <v>49</v>
      </c>
      <c r="E80" s="34" t="s">
        <v>54</v>
      </c>
      <c r="F80" s="35" t="s">
        <v>47</v>
      </c>
      <c r="G80" s="34" t="s">
        <v>117</v>
      </c>
      <c r="H80" s="34" t="s">
        <v>47</v>
      </c>
      <c r="I80" s="35" t="n">
        <v>1.0</v>
      </c>
      <c r="J80" s="35"/>
      <c r="K80" s="37" t="n">
        <v>0.6</v>
      </c>
    </row>
    <row r="81">
      <c r="A81" s="35" t="s">
        <v>47</v>
      </c>
      <c r="B81" s="34" t="s">
        <v>47</v>
      </c>
      <c r="C81" s="35" t="s">
        <v>47</v>
      </c>
      <c r="D81" s="35" t="s">
        <v>49</v>
      </c>
      <c r="E81" s="34" t="s">
        <v>118</v>
      </c>
      <c r="F81" s="35" t="s">
        <v>47</v>
      </c>
      <c r="G81" s="34" t="s">
        <v>57</v>
      </c>
      <c r="H81" s="34" t="s">
        <v>47</v>
      </c>
      <c r="I81" s="35" t="n">
        <v>4.0</v>
      </c>
      <c r="J81" s="35"/>
      <c r="K81" s="37" t="n">
        <v>0.2</v>
      </c>
    </row>
    <row r="82">
      <c r="A82" s="35" t="s">
        <v>47</v>
      </c>
      <c r="B82" s="34" t="s">
        <v>47</v>
      </c>
      <c r="C82" s="35" t="s">
        <v>47</v>
      </c>
      <c r="D82" s="35" t="s">
        <v>49</v>
      </c>
      <c r="E82" s="34" t="s">
        <v>119</v>
      </c>
      <c r="F82" s="35" t="s">
        <v>47</v>
      </c>
      <c r="G82" s="34" t="s">
        <v>120</v>
      </c>
      <c r="H82" s="34" t="s">
        <v>47</v>
      </c>
      <c r="I82" s="35" t="n">
        <v>6.0</v>
      </c>
      <c r="J82" s="35"/>
      <c r="K82" s="37" t="n">
        <v>0.5</v>
      </c>
    </row>
    <row r="83">
      <c r="A83" s="35" t="s">
        <v>47</v>
      </c>
      <c r="B83" s="34" t="s">
        <v>47</v>
      </c>
      <c r="C83" s="35" t="s">
        <v>47</v>
      </c>
      <c r="D83" s="35" t="s">
        <v>49</v>
      </c>
      <c r="E83" s="34" t="s">
        <v>121</v>
      </c>
      <c r="F83" s="35" t="s">
        <v>47</v>
      </c>
      <c r="G83" s="34" t="s">
        <v>57</v>
      </c>
      <c r="H83" s="34" t="s">
        <v>47</v>
      </c>
      <c r="I83" s="35" t="n">
        <v>4.0</v>
      </c>
      <c r="J83" s="35"/>
      <c r="K83" s="37" t="n">
        <v>0.3</v>
      </c>
    </row>
    <row r="84">
      <c r="A84" s="35" t="s">
        <v>47</v>
      </c>
      <c r="B84" s="34" t="s">
        <v>47</v>
      </c>
      <c r="C84" s="35" t="s">
        <v>47</v>
      </c>
      <c r="D84" s="35" t="s">
        <v>49</v>
      </c>
      <c r="E84" s="34" t="s">
        <v>122</v>
      </c>
      <c r="F84" s="35" t="s">
        <v>47</v>
      </c>
      <c r="G84" s="34" t="s">
        <v>123</v>
      </c>
      <c r="H84" s="34" t="s">
        <v>47</v>
      </c>
      <c r="I84" s="35" t="n">
        <v>6.0</v>
      </c>
      <c r="J84" s="35"/>
      <c r="K84" s="37" t="n">
        <v>0.2</v>
      </c>
    </row>
    <row r="85">
      <c r="A85" s="35" t="s">
        <v>47</v>
      </c>
      <c r="B85" s="34" t="s">
        <v>47</v>
      </c>
      <c r="C85" s="35" t="s">
        <v>47</v>
      </c>
      <c r="D85" s="35" t="s">
        <v>49</v>
      </c>
      <c r="E85" s="34" t="s">
        <v>124</v>
      </c>
      <c r="F85" s="35" t="s">
        <v>47</v>
      </c>
      <c r="G85" s="34" t="s">
        <v>57</v>
      </c>
      <c r="H85" s="34" t="s">
        <v>47</v>
      </c>
      <c r="I85" s="35" t="n">
        <v>4.0</v>
      </c>
      <c r="J85" s="35"/>
      <c r="K85" s="37" t="n">
        <v>0.2</v>
      </c>
    </row>
    <row r="86">
      <c r="A86" s="35" t="s">
        <v>47</v>
      </c>
      <c r="B86" s="34" t="s">
        <v>47</v>
      </c>
      <c r="C86" s="35" t="s">
        <v>47</v>
      </c>
      <c r="D86" s="35" t="s">
        <v>49</v>
      </c>
      <c r="E86" s="34" t="s">
        <v>125</v>
      </c>
      <c r="F86" s="35" t="s">
        <v>47</v>
      </c>
      <c r="G86" s="34" t="s">
        <v>126</v>
      </c>
      <c r="H86" s="34" t="s">
        <v>47</v>
      </c>
      <c r="I86" s="35" t="n">
        <v>6.0</v>
      </c>
      <c r="J86" s="35"/>
      <c r="K86" s="37" t="n">
        <v>0.1</v>
      </c>
    </row>
    <row r="87">
      <c r="A87" s="35" t="s">
        <v>47</v>
      </c>
      <c r="B87" s="34" t="s">
        <v>47</v>
      </c>
      <c r="C87" s="35" t="s">
        <v>47</v>
      </c>
      <c r="D87" s="35" t="s">
        <v>49</v>
      </c>
      <c r="E87" s="34" t="s">
        <v>127</v>
      </c>
      <c r="F87" s="35" t="s">
        <v>47</v>
      </c>
      <c r="G87" s="34" t="s">
        <v>57</v>
      </c>
      <c r="H87" s="34" t="s">
        <v>47</v>
      </c>
      <c r="I87" s="35" t="n">
        <v>4.0</v>
      </c>
      <c r="J87" s="35"/>
      <c r="K87" s="37" t="n">
        <v>0.2</v>
      </c>
    </row>
    <row r="88">
      <c r="A88" s="35" t="s">
        <v>47</v>
      </c>
      <c r="B88" s="34" t="s">
        <v>47</v>
      </c>
      <c r="C88" s="35" t="s">
        <v>47</v>
      </c>
      <c r="D88" s="35" t="s">
        <v>49</v>
      </c>
      <c r="E88" s="34" t="s">
        <v>128</v>
      </c>
      <c r="F88" s="35" t="s">
        <v>47</v>
      </c>
      <c r="G88" s="34" t="s">
        <v>129</v>
      </c>
      <c r="H88" s="34" t="s">
        <v>47</v>
      </c>
      <c r="I88" s="35" t="n">
        <v>6.0</v>
      </c>
      <c r="J88" s="35"/>
      <c r="K88" s="37" t="n">
        <v>0.2</v>
      </c>
    </row>
    <row r="89">
      <c r="A89" s="35" t="s">
        <v>47</v>
      </c>
      <c r="B89" s="34" t="s">
        <v>47</v>
      </c>
      <c r="C89" s="35" t="s">
        <v>47</v>
      </c>
      <c r="D89" s="35" t="s">
        <v>49</v>
      </c>
      <c r="E89" s="34" t="s">
        <v>130</v>
      </c>
      <c r="F89" s="35" t="s">
        <v>47</v>
      </c>
      <c r="G89" s="34" t="s">
        <v>57</v>
      </c>
      <c r="H89" s="34" t="s">
        <v>47</v>
      </c>
      <c r="I89" s="35" t="n">
        <v>4.0</v>
      </c>
      <c r="J89" s="35"/>
      <c r="K89" s="37" t="n">
        <v>0.2</v>
      </c>
    </row>
    <row r="90">
      <c r="A90" s="35" t="s">
        <v>47</v>
      </c>
      <c r="B90" s="34" t="s">
        <v>47</v>
      </c>
      <c r="C90" s="35" t="s">
        <v>47</v>
      </c>
      <c r="D90" s="35" t="s">
        <v>49</v>
      </c>
      <c r="E90" s="34" t="s">
        <v>131</v>
      </c>
      <c r="F90" s="35" t="s">
        <v>47</v>
      </c>
      <c r="G90" s="34" t="s">
        <v>132</v>
      </c>
      <c r="H90" s="34" t="s">
        <v>47</v>
      </c>
      <c r="I90" s="35" t="n">
        <v>6.0</v>
      </c>
      <c r="J90" s="35"/>
      <c r="K90" s="37" t="n">
        <v>0.4</v>
      </c>
    </row>
    <row r="91">
      <c r="A91" s="35" t="s">
        <v>47</v>
      </c>
      <c r="B91" s="34" t="s">
        <v>47</v>
      </c>
      <c r="C91" s="35" t="s">
        <v>47</v>
      </c>
      <c r="D91" s="35" t="s">
        <v>49</v>
      </c>
      <c r="E91" s="34" t="s">
        <v>133</v>
      </c>
      <c r="F91" s="35" t="s">
        <v>47</v>
      </c>
      <c r="G91" s="34" t="s">
        <v>57</v>
      </c>
      <c r="H91" s="34" t="s">
        <v>47</v>
      </c>
      <c r="I91" s="35" t="n">
        <v>4.0</v>
      </c>
      <c r="J91" s="35"/>
      <c r="K91" s="37" t="n">
        <v>0.2</v>
      </c>
    </row>
    <row r="92">
      <c r="A92" s="35" t="s">
        <v>47</v>
      </c>
      <c r="B92" s="34" t="s">
        <v>47</v>
      </c>
      <c r="C92" s="35" t="s">
        <v>47</v>
      </c>
      <c r="D92" s="35" t="s">
        <v>49</v>
      </c>
      <c r="E92" s="34" t="s">
        <v>134</v>
      </c>
      <c r="F92" s="35" t="s">
        <v>47</v>
      </c>
      <c r="G92" s="34" t="s">
        <v>135</v>
      </c>
      <c r="H92" s="34" t="s">
        <v>47</v>
      </c>
      <c r="I92" s="35" t="n">
        <v>6.0</v>
      </c>
      <c r="J92" s="35"/>
      <c r="K92" s="37" t="n">
        <v>0.3</v>
      </c>
    </row>
    <row r="93">
      <c r="A93" s="35" t="s">
        <v>47</v>
      </c>
      <c r="B93" s="34" t="s">
        <v>47</v>
      </c>
      <c r="C93" s="35" t="s">
        <v>47</v>
      </c>
      <c r="D93" s="35" t="s">
        <v>49</v>
      </c>
      <c r="E93" s="34" t="s">
        <v>136</v>
      </c>
      <c r="F93" s="35" t="s">
        <v>47</v>
      </c>
      <c r="G93" s="34" t="s">
        <v>57</v>
      </c>
      <c r="H93" s="34" t="s">
        <v>47</v>
      </c>
      <c r="I93" s="35" t="n">
        <v>4.0</v>
      </c>
      <c r="J93" s="35"/>
      <c r="K93" s="37" t="n">
        <v>0.2</v>
      </c>
    </row>
    <row r="94">
      <c r="A94" s="35" t="s">
        <v>47</v>
      </c>
      <c r="B94" s="34" t="s">
        <v>47</v>
      </c>
      <c r="C94" s="35" t="s">
        <v>47</v>
      </c>
      <c r="D94" s="35" t="s">
        <v>49</v>
      </c>
      <c r="E94" s="34" t="s">
        <v>137</v>
      </c>
      <c r="F94" s="35" t="s">
        <v>47</v>
      </c>
      <c r="G94" s="34" t="s">
        <v>138</v>
      </c>
      <c r="H94" s="34" t="s">
        <v>47</v>
      </c>
      <c r="I94" s="35" t="n">
        <v>6.0</v>
      </c>
      <c r="J94" s="35"/>
      <c r="K94" s="37" t="n">
        <v>0.4</v>
      </c>
    </row>
    <row r="95">
      <c r="A95" s="35" t="s">
        <v>47</v>
      </c>
      <c r="B95" s="34" t="s">
        <v>47</v>
      </c>
      <c r="C95" s="35" t="s">
        <v>47</v>
      </c>
      <c r="D95" s="35" t="s">
        <v>79</v>
      </c>
      <c r="E95" s="34" t="s">
        <v>139</v>
      </c>
      <c r="F95" s="35" t="s">
        <v>47</v>
      </c>
      <c r="G95" s="34" t="s">
        <v>47</v>
      </c>
      <c r="H95" s="34" t="s">
        <v>47</v>
      </c>
      <c r="I95" s="35" t="n">
        <v>4.0</v>
      </c>
      <c r="J95" s="35"/>
      <c r="K95" s="37" t="n">
        <v>1.5</v>
      </c>
    </row>
    <row r="96">
      <c r="A96" s="35" t="s">
        <v>47</v>
      </c>
      <c r="B96" s="34" t="s">
        <v>47</v>
      </c>
      <c r="C96" s="35" t="s">
        <v>47</v>
      </c>
      <c r="D96" s="35" t="s">
        <v>47</v>
      </c>
      <c r="E96" s="34" t="s">
        <v>47</v>
      </c>
      <c r="F96" s="35" t="n">
        <v>0.0</v>
      </c>
      <c r="G96" s="34" t="s">
        <v>140</v>
      </c>
      <c r="H96" s="34" t="s">
        <v>47</v>
      </c>
      <c r="I96" s="35"/>
      <c r="J96" s="35"/>
      <c r="K96" s="37"/>
    </row>
    <row r="97">
      <c r="A97" s="35" t="s">
        <v>47</v>
      </c>
      <c r="B97" s="34" t="s">
        <v>47</v>
      </c>
      <c r="C97" s="35" t="s">
        <v>47</v>
      </c>
      <c r="D97" s="35" t="s">
        <v>47</v>
      </c>
      <c r="E97" s="34" t="s">
        <v>47</v>
      </c>
      <c r="F97" s="35" t="n">
        <v>1.0</v>
      </c>
      <c r="G97" s="34" t="s">
        <v>141</v>
      </c>
      <c r="H97" s="34" t="s">
        <v>47</v>
      </c>
      <c r="I97" s="35"/>
      <c r="J97" s="35"/>
      <c r="K97" s="37"/>
    </row>
    <row r="98">
      <c r="A98" s="35" t="s">
        <v>47</v>
      </c>
      <c r="B98" s="34" t="s">
        <v>47</v>
      </c>
      <c r="C98" s="35" t="s">
        <v>47</v>
      </c>
      <c r="D98" s="35" t="s">
        <v>47</v>
      </c>
      <c r="E98" s="34" t="s">
        <v>47</v>
      </c>
      <c r="F98" s="35" t="n">
        <v>2.0</v>
      </c>
      <c r="G98" s="34" t="s">
        <v>142</v>
      </c>
      <c r="H98" s="34" t="s">
        <v>47</v>
      </c>
      <c r="I98" s="35"/>
      <c r="J98" s="35"/>
      <c r="K98" s="37"/>
    </row>
    <row r="99">
      <c r="A99" s="35" t="s">
        <v>47</v>
      </c>
      <c r="B99" s="34" t="s">
        <v>47</v>
      </c>
      <c r="C99" s="35" t="s">
        <v>47</v>
      </c>
      <c r="D99" s="35" t="s">
        <v>47</v>
      </c>
      <c r="E99" s="34" t="s">
        <v>47</v>
      </c>
      <c r="F99" s="35" t="n">
        <v>3.0</v>
      </c>
      <c r="G99" s="34" t="s">
        <v>143</v>
      </c>
      <c r="H99" s="34" t="s">
        <v>47</v>
      </c>
      <c r="I99" s="35"/>
      <c r="J99" s="35"/>
      <c r="K99" s="37"/>
    </row>
    <row r="100">
      <c r="A100" s="35" t="s">
        <v>47</v>
      </c>
      <c r="B100" s="34" t="s">
        <v>47</v>
      </c>
      <c r="C100" s="35" t="s">
        <v>47</v>
      </c>
      <c r="D100" s="35" t="s">
        <v>79</v>
      </c>
      <c r="E100" s="34" t="s">
        <v>144</v>
      </c>
      <c r="F100" s="35" t="s">
        <v>47</v>
      </c>
      <c r="G100" s="34" t="s">
        <v>47</v>
      </c>
      <c r="H100" s="34" t="s">
        <v>47</v>
      </c>
      <c r="I100" s="35" t="n">
        <v>4.0</v>
      </c>
      <c r="J100" s="35"/>
      <c r="K100" s="37" t="n">
        <v>1.5</v>
      </c>
    </row>
    <row r="101">
      <c r="A101" s="35" t="s">
        <v>47</v>
      </c>
      <c r="B101" s="34" t="s">
        <v>47</v>
      </c>
      <c r="C101" s="35" t="s">
        <v>47</v>
      </c>
      <c r="D101" s="35" t="s">
        <v>47</v>
      </c>
      <c r="E101" s="34" t="s">
        <v>47</v>
      </c>
      <c r="F101" s="35" t="n">
        <v>0.0</v>
      </c>
      <c r="G101" s="34" t="s">
        <v>145</v>
      </c>
      <c r="H101" s="34" t="s">
        <v>47</v>
      </c>
      <c r="I101" s="35"/>
      <c r="J101" s="35"/>
      <c r="K101" s="37"/>
    </row>
    <row r="102">
      <c r="A102" s="35" t="s">
        <v>47</v>
      </c>
      <c r="B102" s="34" t="s">
        <v>47</v>
      </c>
      <c r="C102" s="35" t="s">
        <v>47</v>
      </c>
      <c r="D102" s="35" t="s">
        <v>47</v>
      </c>
      <c r="E102" s="34" t="s">
        <v>47</v>
      </c>
      <c r="F102" s="35" t="n">
        <v>1.0</v>
      </c>
      <c r="G102" s="34" t="s">
        <v>146</v>
      </c>
      <c r="H102" s="34" t="s">
        <v>47</v>
      </c>
      <c r="I102" s="35"/>
      <c r="J102" s="35"/>
      <c r="K102" s="37"/>
    </row>
    <row r="103">
      <c r="A103" s="35" t="s">
        <v>47</v>
      </c>
      <c r="B103" s="34" t="s">
        <v>47</v>
      </c>
      <c r="C103" s="35" t="s">
        <v>47</v>
      </c>
      <c r="D103" s="35" t="s">
        <v>47</v>
      </c>
      <c r="E103" s="34" t="s">
        <v>47</v>
      </c>
      <c r="F103" s="35" t="n">
        <v>2.0</v>
      </c>
      <c r="G103" s="34" t="s">
        <v>147</v>
      </c>
      <c r="H103" s="34" t="s">
        <v>47</v>
      </c>
      <c r="I103" s="35"/>
      <c r="J103" s="35"/>
      <c r="K103" s="37"/>
    </row>
    <row r="104">
      <c r="A104" s="35" t="s">
        <v>47</v>
      </c>
      <c r="B104" s="34" t="s">
        <v>47</v>
      </c>
      <c r="C104" s="35" t="s">
        <v>47</v>
      </c>
      <c r="D104" s="35" t="s">
        <v>47</v>
      </c>
      <c r="E104" s="34" t="s">
        <v>47</v>
      </c>
      <c r="F104" s="35" t="n">
        <v>3.0</v>
      </c>
      <c r="G104" s="34" t="s">
        <v>148</v>
      </c>
      <c r="H104" s="34" t="s">
        <v>47</v>
      </c>
      <c r="I104" s="35"/>
      <c r="J104" s="35"/>
      <c r="K104" s="37"/>
    </row>
    <row r="105">
      <c r="A105" s="35" t="s">
        <v>149</v>
      </c>
      <c r="B105" s="34" t="s">
        <v>150</v>
      </c>
      <c r="C105" s="35" t="s">
        <v>113</v>
      </c>
      <c r="D105" s="34" t="s">
        <v>47</v>
      </c>
      <c r="E105" s="34" t="s">
        <v>47</v>
      </c>
      <c r="F105" s="34" t="s">
        <v>47</v>
      </c>
      <c r="G105" s="34" t="s">
        <v>47</v>
      </c>
      <c r="H105" s="34" t="s">
        <v>47</v>
      </c>
      <c r="I105" s="34" t="s">
        <v>47</v>
      </c>
      <c r="J105" s="34" t="s">
        <v>47</v>
      </c>
      <c r="K105" s="34" t="s">
        <v>47</v>
      </c>
    </row>
    <row r="106">
      <c r="A106" s="35" t="s">
        <v>47</v>
      </c>
      <c r="B106" s="34" t="s">
        <v>47</v>
      </c>
      <c r="C106" s="35" t="s">
        <v>47</v>
      </c>
      <c r="D106" s="35" t="s">
        <v>49</v>
      </c>
      <c r="E106" s="34" t="s">
        <v>114</v>
      </c>
      <c r="F106" s="35" t="s">
        <v>47</v>
      </c>
      <c r="G106" s="34" t="s">
        <v>51</v>
      </c>
      <c r="H106" s="34" t="s">
        <v>47</v>
      </c>
      <c r="I106" s="35" t="n">
        <v>3.0</v>
      </c>
      <c r="J106" s="35"/>
      <c r="K106" s="37" t="n">
        <v>1.0</v>
      </c>
    </row>
    <row r="107">
      <c r="A107" s="35" t="s">
        <v>47</v>
      </c>
      <c r="B107" s="34" t="s">
        <v>47</v>
      </c>
      <c r="C107" s="35" t="s">
        <v>47</v>
      </c>
      <c r="D107" s="35" t="s">
        <v>49</v>
      </c>
      <c r="E107" s="34" t="s">
        <v>115</v>
      </c>
      <c r="F107" s="35" t="s">
        <v>47</v>
      </c>
      <c r="G107" s="34" t="s">
        <v>52</v>
      </c>
      <c r="H107" s="34" t="s">
        <v>47</v>
      </c>
      <c r="I107" s="35" t="n">
        <v>2.0</v>
      </c>
      <c r="J107" s="35"/>
      <c r="K107" s="37" t="n">
        <v>0.9</v>
      </c>
    </row>
    <row r="108">
      <c r="A108" s="35" t="s">
        <v>47</v>
      </c>
      <c r="B108" s="34" t="s">
        <v>47</v>
      </c>
      <c r="C108" s="35" t="s">
        <v>47</v>
      </c>
      <c r="D108" s="35" t="s">
        <v>49</v>
      </c>
      <c r="E108" s="34" t="s">
        <v>116</v>
      </c>
      <c r="F108" s="35" t="s">
        <v>47</v>
      </c>
      <c r="G108" s="34" t="s">
        <v>53</v>
      </c>
      <c r="H108" s="34" t="s">
        <v>47</v>
      </c>
      <c r="I108" s="35" t="n">
        <v>1.0</v>
      </c>
      <c r="J108" s="35"/>
      <c r="K108" s="37" t="n">
        <v>0.9</v>
      </c>
    </row>
    <row r="109">
      <c r="A109" s="35" t="s">
        <v>47</v>
      </c>
      <c r="B109" s="34" t="s">
        <v>47</v>
      </c>
      <c r="C109" s="35" t="s">
        <v>47</v>
      </c>
      <c r="D109" s="35" t="s">
        <v>49</v>
      </c>
      <c r="E109" s="34" t="s">
        <v>54</v>
      </c>
      <c r="F109" s="35" t="s">
        <v>47</v>
      </c>
      <c r="G109" s="34" t="s">
        <v>151</v>
      </c>
      <c r="H109" s="34" t="s">
        <v>47</v>
      </c>
      <c r="I109" s="35" t="n">
        <v>1.0</v>
      </c>
      <c r="J109" s="35"/>
      <c r="K109" s="37" t="n">
        <v>0.3</v>
      </c>
    </row>
    <row r="110">
      <c r="A110" s="35" t="s">
        <v>47</v>
      </c>
      <c r="B110" s="34" t="s">
        <v>47</v>
      </c>
      <c r="C110" s="35" t="s">
        <v>47</v>
      </c>
      <c r="D110" s="35" t="s">
        <v>49</v>
      </c>
      <c r="E110" s="34" t="s">
        <v>152</v>
      </c>
      <c r="F110" s="35" t="s">
        <v>47</v>
      </c>
      <c r="G110" s="34" t="s">
        <v>57</v>
      </c>
      <c r="H110" s="34" t="s">
        <v>47</v>
      </c>
      <c r="I110" s="35" t="n">
        <v>4.0</v>
      </c>
      <c r="J110" s="35"/>
      <c r="K110" s="37" t="n">
        <v>0.2</v>
      </c>
    </row>
    <row r="111">
      <c r="A111" s="35" t="s">
        <v>47</v>
      </c>
      <c r="B111" s="34" t="s">
        <v>47</v>
      </c>
      <c r="C111" s="35" t="s">
        <v>47</v>
      </c>
      <c r="D111" s="35" t="s">
        <v>49</v>
      </c>
      <c r="E111" s="34" t="s">
        <v>119</v>
      </c>
      <c r="F111" s="35" t="s">
        <v>47</v>
      </c>
      <c r="G111" s="34" t="s">
        <v>153</v>
      </c>
      <c r="H111" s="34" t="s">
        <v>47</v>
      </c>
      <c r="I111" s="35" t="n">
        <v>6.0</v>
      </c>
      <c r="J111" s="35"/>
      <c r="K111" s="37" t="n">
        <v>0.5</v>
      </c>
    </row>
    <row r="112">
      <c r="A112" s="35" t="s">
        <v>47</v>
      </c>
      <c r="B112" s="34" t="s">
        <v>47</v>
      </c>
      <c r="C112" s="35" t="s">
        <v>47</v>
      </c>
      <c r="D112" s="35" t="s">
        <v>49</v>
      </c>
      <c r="E112" s="34" t="s">
        <v>154</v>
      </c>
      <c r="F112" s="35" t="s">
        <v>47</v>
      </c>
      <c r="G112" s="34" t="s">
        <v>57</v>
      </c>
      <c r="H112" s="34" t="s">
        <v>47</v>
      </c>
      <c r="I112" s="35" t="n">
        <v>4.0</v>
      </c>
      <c r="J112" s="35"/>
      <c r="K112" s="37" t="n">
        <v>0.2</v>
      </c>
    </row>
    <row r="113">
      <c r="A113" s="35" t="s">
        <v>47</v>
      </c>
      <c r="B113" s="34" t="s">
        <v>47</v>
      </c>
      <c r="C113" s="35" t="s">
        <v>47</v>
      </c>
      <c r="D113" s="35" t="s">
        <v>49</v>
      </c>
      <c r="E113" s="34" t="s">
        <v>155</v>
      </c>
      <c r="F113" s="35" t="s">
        <v>47</v>
      </c>
      <c r="G113" s="34" t="s">
        <v>156</v>
      </c>
      <c r="H113" s="34" t="s">
        <v>47</v>
      </c>
      <c r="I113" s="35" t="n">
        <v>6.0</v>
      </c>
      <c r="J113" s="35"/>
      <c r="K113" s="37" t="n">
        <v>0.3</v>
      </c>
    </row>
    <row r="114">
      <c r="A114" s="35" t="s">
        <v>47</v>
      </c>
      <c r="B114" s="34" t="s">
        <v>47</v>
      </c>
      <c r="C114" s="35" t="s">
        <v>47</v>
      </c>
      <c r="D114" s="35" t="s">
        <v>49</v>
      </c>
      <c r="E114" s="34" t="s">
        <v>157</v>
      </c>
      <c r="F114" s="35" t="s">
        <v>47</v>
      </c>
      <c r="G114" s="34" t="s">
        <v>57</v>
      </c>
      <c r="H114" s="34" t="s">
        <v>47</v>
      </c>
      <c r="I114" s="35" t="n">
        <v>4.0</v>
      </c>
      <c r="J114" s="35"/>
      <c r="K114" s="37" t="n">
        <v>0.2</v>
      </c>
    </row>
    <row r="115">
      <c r="A115" s="35" t="s">
        <v>47</v>
      </c>
      <c r="B115" s="34" t="s">
        <v>47</v>
      </c>
      <c r="C115" s="35" t="s">
        <v>47</v>
      </c>
      <c r="D115" s="35" t="s">
        <v>49</v>
      </c>
      <c r="E115" s="34" t="s">
        <v>122</v>
      </c>
      <c r="F115" s="35" t="s">
        <v>47</v>
      </c>
      <c r="G115" s="34" t="s">
        <v>158</v>
      </c>
      <c r="H115" s="34" t="s">
        <v>47</v>
      </c>
      <c r="I115" s="35" t="n">
        <v>6.0</v>
      </c>
      <c r="J115" s="35"/>
      <c r="K115" s="37" t="n">
        <v>0.6</v>
      </c>
    </row>
    <row r="116">
      <c r="A116" s="35" t="s">
        <v>47</v>
      </c>
      <c r="B116" s="34" t="s">
        <v>47</v>
      </c>
      <c r="C116" s="35" t="s">
        <v>47</v>
      </c>
      <c r="D116" s="35" t="s">
        <v>49</v>
      </c>
      <c r="E116" s="34" t="s">
        <v>159</v>
      </c>
      <c r="F116" s="35" t="s">
        <v>47</v>
      </c>
      <c r="G116" s="34" t="s">
        <v>57</v>
      </c>
      <c r="H116" s="34" t="s">
        <v>47</v>
      </c>
      <c r="I116" s="35" t="n">
        <v>4.0</v>
      </c>
      <c r="J116" s="35"/>
      <c r="K116" s="37" t="n">
        <v>0.2</v>
      </c>
    </row>
    <row r="117">
      <c r="A117" s="35" t="s">
        <v>47</v>
      </c>
      <c r="B117" s="34" t="s">
        <v>47</v>
      </c>
      <c r="C117" s="35" t="s">
        <v>47</v>
      </c>
      <c r="D117" s="35" t="s">
        <v>49</v>
      </c>
      <c r="E117" s="34" t="s">
        <v>125</v>
      </c>
      <c r="F117" s="35" t="s">
        <v>47</v>
      </c>
      <c r="G117" s="34" t="s">
        <v>160</v>
      </c>
      <c r="H117" s="34" t="s">
        <v>47</v>
      </c>
      <c r="I117" s="35" t="n">
        <v>6.0</v>
      </c>
      <c r="J117" s="35"/>
      <c r="K117" s="37" t="n">
        <v>0.6</v>
      </c>
    </row>
    <row r="118">
      <c r="A118" s="35" t="s">
        <v>47</v>
      </c>
      <c r="B118" s="34" t="s">
        <v>47</v>
      </c>
      <c r="C118" s="35" t="s">
        <v>47</v>
      </c>
      <c r="D118" s="35" t="s">
        <v>49</v>
      </c>
      <c r="E118" s="34" t="s">
        <v>161</v>
      </c>
      <c r="F118" s="35" t="s">
        <v>47</v>
      </c>
      <c r="G118" s="34" t="s">
        <v>57</v>
      </c>
      <c r="H118" s="34" t="s">
        <v>47</v>
      </c>
      <c r="I118" s="35" t="n">
        <v>4.0</v>
      </c>
      <c r="J118" s="35"/>
      <c r="K118" s="37" t="n">
        <v>0.2</v>
      </c>
    </row>
    <row r="119">
      <c r="A119" s="35" t="s">
        <v>47</v>
      </c>
      <c r="B119" s="34" t="s">
        <v>47</v>
      </c>
      <c r="C119" s="35" t="s">
        <v>47</v>
      </c>
      <c r="D119" s="35" t="s">
        <v>49</v>
      </c>
      <c r="E119" s="34" t="s">
        <v>162</v>
      </c>
      <c r="F119" s="35" t="s">
        <v>47</v>
      </c>
      <c r="G119" s="34" t="s">
        <v>163</v>
      </c>
      <c r="H119" s="34" t="s">
        <v>47</v>
      </c>
      <c r="I119" s="35" t="n">
        <v>6.0</v>
      </c>
      <c r="J119" s="35"/>
      <c r="K119" s="37" t="n">
        <v>0.3</v>
      </c>
    </row>
    <row r="120">
      <c r="A120" s="35" t="s">
        <v>47</v>
      </c>
      <c r="B120" s="34" t="s">
        <v>47</v>
      </c>
      <c r="C120" s="35" t="s">
        <v>47</v>
      </c>
      <c r="D120" s="35" t="s">
        <v>49</v>
      </c>
      <c r="E120" s="34" t="s">
        <v>164</v>
      </c>
      <c r="F120" s="35" t="s">
        <v>47</v>
      </c>
      <c r="G120" s="34" t="s">
        <v>57</v>
      </c>
      <c r="H120" s="34" t="s">
        <v>47</v>
      </c>
      <c r="I120" s="35" t="n">
        <v>4.0</v>
      </c>
      <c r="J120" s="35"/>
      <c r="K120" s="37" t="n">
        <v>0.2</v>
      </c>
    </row>
    <row r="121">
      <c r="A121" s="35" t="s">
        <v>47</v>
      </c>
      <c r="B121" s="34" t="s">
        <v>47</v>
      </c>
      <c r="C121" s="35" t="s">
        <v>47</v>
      </c>
      <c r="D121" s="35" t="s">
        <v>49</v>
      </c>
      <c r="E121" s="34" t="s">
        <v>165</v>
      </c>
      <c r="F121" s="35" t="s">
        <v>47</v>
      </c>
      <c r="G121" s="34" t="s">
        <v>166</v>
      </c>
      <c r="H121" s="34" t="s">
        <v>47</v>
      </c>
      <c r="I121" s="35" t="n">
        <v>6.0</v>
      </c>
      <c r="J121" s="35"/>
      <c r="K121" s="37" t="n">
        <v>0.4</v>
      </c>
    </row>
    <row r="122">
      <c r="A122" s="35" t="s">
        <v>47</v>
      </c>
      <c r="B122" s="34" t="s">
        <v>47</v>
      </c>
      <c r="C122" s="35" t="s">
        <v>47</v>
      </c>
      <c r="D122" s="35" t="s">
        <v>79</v>
      </c>
      <c r="E122" s="34" t="s">
        <v>139</v>
      </c>
      <c r="F122" s="35" t="s">
        <v>47</v>
      </c>
      <c r="G122" s="34" t="s">
        <v>47</v>
      </c>
      <c r="H122" s="34" t="s">
        <v>47</v>
      </c>
      <c r="I122" s="35" t="n">
        <v>4.0</v>
      </c>
      <c r="J122" s="35"/>
      <c r="K122" s="37" t="n">
        <v>1.5</v>
      </c>
    </row>
    <row r="123">
      <c r="A123" s="35" t="s">
        <v>47</v>
      </c>
      <c r="B123" s="34" t="s">
        <v>47</v>
      </c>
      <c r="C123" s="35" t="s">
        <v>47</v>
      </c>
      <c r="D123" s="35" t="s">
        <v>47</v>
      </c>
      <c r="E123" s="34" t="s">
        <v>47</v>
      </c>
      <c r="F123" s="35" t="n">
        <v>0.0</v>
      </c>
      <c r="G123" s="34" t="s">
        <v>140</v>
      </c>
      <c r="H123" s="34" t="s">
        <v>47</v>
      </c>
      <c r="I123" s="35"/>
      <c r="J123" s="35"/>
      <c r="K123" s="37"/>
    </row>
    <row r="124">
      <c r="A124" s="35" t="s">
        <v>47</v>
      </c>
      <c r="B124" s="34" t="s">
        <v>47</v>
      </c>
      <c r="C124" s="35" t="s">
        <v>47</v>
      </c>
      <c r="D124" s="35" t="s">
        <v>47</v>
      </c>
      <c r="E124" s="34" t="s">
        <v>47</v>
      </c>
      <c r="F124" s="35" t="n">
        <v>1.0</v>
      </c>
      <c r="G124" s="34" t="s">
        <v>141</v>
      </c>
      <c r="H124" s="34" t="s">
        <v>47</v>
      </c>
      <c r="I124" s="35"/>
      <c r="J124" s="35"/>
      <c r="K124" s="37"/>
    </row>
    <row r="125">
      <c r="A125" s="35" t="s">
        <v>47</v>
      </c>
      <c r="B125" s="34" t="s">
        <v>47</v>
      </c>
      <c r="C125" s="35" t="s">
        <v>47</v>
      </c>
      <c r="D125" s="35" t="s">
        <v>47</v>
      </c>
      <c r="E125" s="34" t="s">
        <v>47</v>
      </c>
      <c r="F125" s="35" t="n">
        <v>2.0</v>
      </c>
      <c r="G125" s="34" t="s">
        <v>142</v>
      </c>
      <c r="H125" s="34" t="s">
        <v>47</v>
      </c>
      <c r="I125" s="35"/>
      <c r="J125" s="35"/>
      <c r="K125" s="37"/>
    </row>
    <row r="126">
      <c r="A126" s="35" t="s">
        <v>47</v>
      </c>
      <c r="B126" s="34" t="s">
        <v>47</v>
      </c>
      <c r="C126" s="35" t="s">
        <v>47</v>
      </c>
      <c r="D126" s="35" t="s">
        <v>47</v>
      </c>
      <c r="E126" s="34" t="s">
        <v>47</v>
      </c>
      <c r="F126" s="35" t="n">
        <v>3.0</v>
      </c>
      <c r="G126" s="34" t="s">
        <v>143</v>
      </c>
      <c r="H126" s="34" t="s">
        <v>47</v>
      </c>
      <c r="I126" s="35"/>
      <c r="J126" s="35"/>
      <c r="K126" s="37"/>
    </row>
    <row r="127">
      <c r="A127" s="35" t="s">
        <v>47</v>
      </c>
      <c r="B127" s="34" t="s">
        <v>47</v>
      </c>
      <c r="C127" s="35" t="s">
        <v>47</v>
      </c>
      <c r="D127" s="35" t="s">
        <v>79</v>
      </c>
      <c r="E127" s="34" t="s">
        <v>144</v>
      </c>
      <c r="F127" s="35" t="s">
        <v>47</v>
      </c>
      <c r="G127" s="34" t="s">
        <v>47</v>
      </c>
      <c r="H127" s="34" t="s">
        <v>47</v>
      </c>
      <c r="I127" s="35" t="n">
        <v>4.0</v>
      </c>
      <c r="J127" s="35"/>
      <c r="K127" s="37" t="n">
        <v>1.5</v>
      </c>
    </row>
    <row r="128">
      <c r="A128" s="35" t="s">
        <v>47</v>
      </c>
      <c r="B128" s="34" t="s">
        <v>47</v>
      </c>
      <c r="C128" s="35" t="s">
        <v>47</v>
      </c>
      <c r="D128" s="35" t="s">
        <v>47</v>
      </c>
      <c r="E128" s="34" t="s">
        <v>47</v>
      </c>
      <c r="F128" s="35" t="n">
        <v>0.0</v>
      </c>
      <c r="G128" s="34" t="s">
        <v>145</v>
      </c>
      <c r="H128" s="34" t="s">
        <v>47</v>
      </c>
      <c r="I128" s="35"/>
      <c r="J128" s="35"/>
      <c r="K128" s="37"/>
    </row>
    <row r="129">
      <c r="A129" s="35" t="s">
        <v>47</v>
      </c>
      <c r="B129" s="34" t="s">
        <v>47</v>
      </c>
      <c r="C129" s="35" t="s">
        <v>47</v>
      </c>
      <c r="D129" s="35" t="s">
        <v>47</v>
      </c>
      <c r="E129" s="34" t="s">
        <v>47</v>
      </c>
      <c r="F129" s="35" t="n">
        <v>1.0</v>
      </c>
      <c r="G129" s="34" t="s">
        <v>146</v>
      </c>
      <c r="H129" s="34" t="s">
        <v>47</v>
      </c>
      <c r="I129" s="35"/>
      <c r="J129" s="35"/>
      <c r="K129" s="37"/>
    </row>
    <row r="130">
      <c r="A130" s="35" t="s">
        <v>47</v>
      </c>
      <c r="B130" s="34" t="s">
        <v>47</v>
      </c>
      <c r="C130" s="35" t="s">
        <v>47</v>
      </c>
      <c r="D130" s="35" t="s">
        <v>47</v>
      </c>
      <c r="E130" s="34" t="s">
        <v>47</v>
      </c>
      <c r="F130" s="35" t="n">
        <v>2.0</v>
      </c>
      <c r="G130" s="34" t="s">
        <v>147</v>
      </c>
      <c r="H130" s="34" t="s">
        <v>47</v>
      </c>
      <c r="I130" s="35"/>
      <c r="J130" s="35"/>
      <c r="K130" s="37"/>
    </row>
    <row r="131">
      <c r="A131" s="35" t="s">
        <v>47</v>
      </c>
      <c r="B131" s="34" t="s">
        <v>47</v>
      </c>
      <c r="C131" s="35" t="s">
        <v>47</v>
      </c>
      <c r="D131" s="35" t="s">
        <v>47</v>
      </c>
      <c r="E131" s="34" t="s">
        <v>47</v>
      </c>
      <c r="F131" s="35" t="n">
        <v>3.0</v>
      </c>
      <c r="G131" s="34" t="s">
        <v>148</v>
      </c>
      <c r="H131" s="34" t="s">
        <v>47</v>
      </c>
      <c r="I131" s="35"/>
      <c r="J131" s="35"/>
      <c r="K131" s="37"/>
    </row>
    <row r="132">
      <c r="A132" s="35" t="s">
        <v>47</v>
      </c>
      <c r="B132" s="34" t="s">
        <v>47</v>
      </c>
      <c r="C132" s="35" t="s">
        <v>47</v>
      </c>
      <c r="D132" s="35" t="s">
        <v>47</v>
      </c>
      <c r="E132" s="34" t="s">
        <v>47</v>
      </c>
      <c r="F132" s="35" t="s">
        <v>47</v>
      </c>
      <c r="G132" s="34" t="s">
        <v>47</v>
      </c>
      <c r="H132" s="34" t="s">
        <v>47</v>
      </c>
      <c r="I132" s="35"/>
      <c r="J132" s="35"/>
      <c r="K132" s="37"/>
    </row>
    <row r="133">
      <c r="A133" s="35" t="s">
        <v>47</v>
      </c>
      <c r="B133" s="34" t="s">
        <v>47</v>
      </c>
      <c r="C133" s="35" t="s">
        <v>47</v>
      </c>
      <c r="D133" s="35" t="s">
        <v>47</v>
      </c>
      <c r="E133" s="34" t="s">
        <v>47</v>
      </c>
      <c r="F133" s="35" t="s">
        <v>47</v>
      </c>
      <c r="G133" s="34" t="s">
        <v>47</v>
      </c>
      <c r="H133" s="34" t="s">
        <v>47</v>
      </c>
      <c r="I133" s="35"/>
      <c r="J133" s="35"/>
      <c r="K133" s="37"/>
    </row>
    <row r="134">
      <c r="A134" s="58" t="s">
        <v>15</v>
      </c>
      <c r="B134" s="59" t="s">
        <v>16</v>
      </c>
      <c r="C134" s="60" t="s">
        <v>10</v>
      </c>
      <c r="D134" s="61" t="s">
        <v>6</v>
      </c>
      <c r="E134" s="62" t="s">
        <v>1</v>
      </c>
      <c r="F134" s="63" t="s">
        <v>2</v>
      </c>
      <c r="G134" s="64" t="s">
        <v>8</v>
      </c>
      <c r="H134" s="65" t="s">
        <v>9</v>
      </c>
      <c r="I134" s="66" t="s">
        <v>23</v>
      </c>
      <c r="J134" s="67" t="s">
        <v>11</v>
      </c>
      <c r="K134" s="68" t="s">
        <v>3</v>
      </c>
      <c r="L134" s="69" t="s">
        <v>167</v>
      </c>
      <c r="M134" s="70" t="s">
        <v>4</v>
      </c>
      <c r="N134" s="71">
        <f>SUM(K135:K184)</f>
      </c>
    </row>
    <row r="135">
      <c r="A135" s="35" t="s">
        <v>168</v>
      </c>
      <c r="B135" s="34" t="s">
        <v>169</v>
      </c>
      <c r="C135" s="35" t="s">
        <v>170</v>
      </c>
      <c r="D135" s="34" t="s">
        <v>47</v>
      </c>
      <c r="E135" s="34" t="s">
        <v>47</v>
      </c>
      <c r="F135" s="34" t="s">
        <v>47</v>
      </c>
      <c r="G135" s="34" t="s">
        <v>47</v>
      </c>
      <c r="H135" s="34" t="s">
        <v>47</v>
      </c>
      <c r="I135" s="34" t="s">
        <v>47</v>
      </c>
      <c r="J135" s="34" t="s">
        <v>47</v>
      </c>
      <c r="K135" s="34" t="s">
        <v>47</v>
      </c>
    </row>
    <row r="136">
      <c r="A136" s="35" t="s">
        <v>47</v>
      </c>
      <c r="B136" s="34" t="s">
        <v>47</v>
      </c>
      <c r="C136" s="35" t="s">
        <v>47</v>
      </c>
      <c r="D136" s="35" t="s">
        <v>49</v>
      </c>
      <c r="E136" s="34" t="s">
        <v>114</v>
      </c>
      <c r="F136" s="35" t="s">
        <v>47</v>
      </c>
      <c r="G136" s="34" t="s">
        <v>51</v>
      </c>
      <c r="H136" s="34" t="s">
        <v>47</v>
      </c>
      <c r="I136" s="35" t="n">
        <v>3.0</v>
      </c>
      <c r="J136" s="35"/>
      <c r="K136" s="37" t="n">
        <v>1.0</v>
      </c>
    </row>
    <row r="137">
      <c r="A137" s="35" t="s">
        <v>47</v>
      </c>
      <c r="B137" s="34" t="s">
        <v>47</v>
      </c>
      <c r="C137" s="35" t="s">
        <v>47</v>
      </c>
      <c r="D137" s="35" t="s">
        <v>49</v>
      </c>
      <c r="E137" s="34" t="s">
        <v>115</v>
      </c>
      <c r="F137" s="35" t="s">
        <v>47</v>
      </c>
      <c r="G137" s="34" t="s">
        <v>52</v>
      </c>
      <c r="H137" s="34" t="s">
        <v>47</v>
      </c>
      <c r="I137" s="35" t="n">
        <v>2.0</v>
      </c>
      <c r="J137" s="35"/>
      <c r="K137" s="37" t="n">
        <v>0.9</v>
      </c>
    </row>
    <row r="138">
      <c r="A138" s="35" t="s">
        <v>47</v>
      </c>
      <c r="B138" s="34" t="s">
        <v>47</v>
      </c>
      <c r="C138" s="35" t="s">
        <v>47</v>
      </c>
      <c r="D138" s="35" t="s">
        <v>49</v>
      </c>
      <c r="E138" s="34" t="s">
        <v>116</v>
      </c>
      <c r="F138" s="35" t="s">
        <v>47</v>
      </c>
      <c r="G138" s="34" t="s">
        <v>53</v>
      </c>
      <c r="H138" s="34" t="s">
        <v>47</v>
      </c>
      <c r="I138" s="35" t="n">
        <v>1.0</v>
      </c>
      <c r="J138" s="35"/>
      <c r="K138" s="37" t="n">
        <v>0.9</v>
      </c>
    </row>
    <row r="139">
      <c r="A139" s="35" t="s">
        <v>47</v>
      </c>
      <c r="B139" s="34" t="s">
        <v>47</v>
      </c>
      <c r="C139" s="35" t="s">
        <v>47</v>
      </c>
      <c r="D139" s="35" t="s">
        <v>49</v>
      </c>
      <c r="E139" s="34" t="s">
        <v>171</v>
      </c>
      <c r="F139" s="35" t="s">
        <v>47</v>
      </c>
      <c r="G139" s="34" t="s">
        <v>70</v>
      </c>
      <c r="H139" s="34" t="s">
        <v>47</v>
      </c>
      <c r="I139" s="35" t="n">
        <v>5.0</v>
      </c>
      <c r="J139" s="35"/>
      <c r="K139" s="37" t="n">
        <v>0.8</v>
      </c>
    </row>
    <row r="140">
      <c r="A140" s="35" t="s">
        <v>47</v>
      </c>
      <c r="B140" s="34" t="s">
        <v>47</v>
      </c>
      <c r="C140" s="35" t="s">
        <v>47</v>
      </c>
      <c r="D140" s="35" t="s">
        <v>49</v>
      </c>
      <c r="E140" s="34" t="s">
        <v>58</v>
      </c>
      <c r="F140" s="35" t="s">
        <v>47</v>
      </c>
      <c r="G140" s="34" t="s">
        <v>172</v>
      </c>
      <c r="H140" s="34" t="s">
        <v>47</v>
      </c>
      <c r="I140" s="35" t="n">
        <v>6.0</v>
      </c>
      <c r="J140" s="35"/>
      <c r="K140" s="37" t="n">
        <v>1.1</v>
      </c>
    </row>
    <row r="141">
      <c r="A141" s="35" t="s">
        <v>47</v>
      </c>
      <c r="B141" s="34" t="s">
        <v>47</v>
      </c>
      <c r="C141" s="35" t="s">
        <v>47</v>
      </c>
      <c r="D141" s="35" t="s">
        <v>49</v>
      </c>
      <c r="E141" s="34" t="s">
        <v>173</v>
      </c>
      <c r="F141" s="35" t="s">
        <v>47</v>
      </c>
      <c r="G141" s="34" t="s">
        <v>70</v>
      </c>
      <c r="H141" s="34" t="s">
        <v>47</v>
      </c>
      <c r="I141" s="35" t="n">
        <v>5.0</v>
      </c>
      <c r="J141" s="35"/>
      <c r="K141" s="37" t="n">
        <v>0.8</v>
      </c>
    </row>
    <row r="142">
      <c r="A142" s="35" t="s">
        <v>47</v>
      </c>
      <c r="B142" s="34" t="s">
        <v>47</v>
      </c>
      <c r="C142" s="35" t="s">
        <v>47</v>
      </c>
      <c r="D142" s="35" t="s">
        <v>49</v>
      </c>
      <c r="E142" s="34" t="s">
        <v>174</v>
      </c>
      <c r="F142" s="35" t="s">
        <v>47</v>
      </c>
      <c r="G142" s="34" t="s">
        <v>175</v>
      </c>
      <c r="H142" s="34" t="s">
        <v>47</v>
      </c>
      <c r="I142" s="35" t="n">
        <v>6.0</v>
      </c>
      <c r="J142" s="35"/>
      <c r="K142" s="37" t="n">
        <v>0.4</v>
      </c>
    </row>
    <row r="143">
      <c r="A143" s="35" t="s">
        <v>47</v>
      </c>
      <c r="B143" s="34" t="s">
        <v>47</v>
      </c>
      <c r="C143" s="35" t="s">
        <v>47</v>
      </c>
      <c r="D143" s="35" t="s">
        <v>49</v>
      </c>
      <c r="E143" s="34" t="s">
        <v>176</v>
      </c>
      <c r="F143" s="35" t="s">
        <v>47</v>
      </c>
      <c r="G143" s="34" t="s">
        <v>70</v>
      </c>
      <c r="H143" s="34" t="s">
        <v>47</v>
      </c>
      <c r="I143" s="35" t="n">
        <v>5.0</v>
      </c>
      <c r="J143" s="35"/>
      <c r="K143" s="37" t="n">
        <v>0.8</v>
      </c>
    </row>
    <row r="144">
      <c r="A144" s="35" t="s">
        <v>47</v>
      </c>
      <c r="B144" s="34" t="s">
        <v>47</v>
      </c>
      <c r="C144" s="35" t="s">
        <v>47</v>
      </c>
      <c r="D144" s="35" t="s">
        <v>49</v>
      </c>
      <c r="E144" s="34" t="s">
        <v>177</v>
      </c>
      <c r="F144" s="35" t="s">
        <v>47</v>
      </c>
      <c r="G144" s="34" t="s">
        <v>178</v>
      </c>
      <c r="H144" s="34" t="s">
        <v>47</v>
      </c>
      <c r="I144" s="35" t="n">
        <v>6.0</v>
      </c>
      <c r="J144" s="35"/>
      <c r="K144" s="37" t="n">
        <v>1.9</v>
      </c>
    </row>
    <row r="145">
      <c r="A145" s="35" t="s">
        <v>47</v>
      </c>
      <c r="B145" s="34" t="s">
        <v>47</v>
      </c>
      <c r="C145" s="35" t="s">
        <v>47</v>
      </c>
      <c r="D145" s="35" t="s">
        <v>49</v>
      </c>
      <c r="E145" s="34" t="s">
        <v>179</v>
      </c>
      <c r="F145" s="35" t="s">
        <v>47</v>
      </c>
      <c r="G145" s="34" t="s">
        <v>70</v>
      </c>
      <c r="H145" s="34" t="s">
        <v>47</v>
      </c>
      <c r="I145" s="35" t="n">
        <v>5.0</v>
      </c>
      <c r="J145" s="35"/>
      <c r="K145" s="37" t="n">
        <v>0.8</v>
      </c>
    </row>
    <row r="146">
      <c r="A146" s="35" t="s">
        <v>47</v>
      </c>
      <c r="B146" s="34" t="s">
        <v>47</v>
      </c>
      <c r="C146" s="35" t="s">
        <v>47</v>
      </c>
      <c r="D146" s="35" t="s">
        <v>49</v>
      </c>
      <c r="E146" s="34" t="s">
        <v>180</v>
      </c>
      <c r="F146" s="35" t="s">
        <v>47</v>
      </c>
      <c r="G146" s="34" t="s">
        <v>181</v>
      </c>
      <c r="H146" s="34" t="s">
        <v>47</v>
      </c>
      <c r="I146" s="35" t="n">
        <v>6.0</v>
      </c>
      <c r="J146" s="35"/>
      <c r="K146" s="37" t="n">
        <v>1.5</v>
      </c>
    </row>
    <row r="147">
      <c r="A147" s="35" t="s">
        <v>47</v>
      </c>
      <c r="B147" s="34" t="s">
        <v>47</v>
      </c>
      <c r="C147" s="35" t="s">
        <v>47</v>
      </c>
      <c r="D147" s="35" t="s">
        <v>49</v>
      </c>
      <c r="E147" s="34" t="s">
        <v>182</v>
      </c>
      <c r="F147" s="35" t="s">
        <v>47</v>
      </c>
      <c r="G147" s="34" t="s">
        <v>70</v>
      </c>
      <c r="H147" s="34" t="s">
        <v>47</v>
      </c>
      <c r="I147" s="35" t="n">
        <v>4.0</v>
      </c>
      <c r="J147" s="35"/>
      <c r="K147" s="37" t="n">
        <v>0.8</v>
      </c>
    </row>
    <row r="148">
      <c r="A148" s="35" t="s">
        <v>47</v>
      </c>
      <c r="B148" s="34" t="s">
        <v>47</v>
      </c>
      <c r="C148" s="35" t="s">
        <v>47</v>
      </c>
      <c r="D148" s="35" t="s">
        <v>49</v>
      </c>
      <c r="E148" s="34" t="s">
        <v>183</v>
      </c>
      <c r="F148" s="35" t="s">
        <v>47</v>
      </c>
      <c r="G148" s="34" t="s">
        <v>184</v>
      </c>
      <c r="H148" s="34" t="s">
        <v>47</v>
      </c>
      <c r="I148" s="35" t="n">
        <v>6.0</v>
      </c>
      <c r="J148" s="35"/>
      <c r="K148" s="37" t="n">
        <v>1.3</v>
      </c>
    </row>
    <row r="149">
      <c r="A149" s="35" t="s">
        <v>47</v>
      </c>
      <c r="B149" s="34" t="s">
        <v>47</v>
      </c>
      <c r="C149" s="35" t="s">
        <v>47</v>
      </c>
      <c r="D149" s="35" t="s">
        <v>79</v>
      </c>
      <c r="E149" s="34" t="s">
        <v>185</v>
      </c>
      <c r="F149" s="35" t="s">
        <v>47</v>
      </c>
      <c r="G149" s="34" t="s">
        <v>47</v>
      </c>
      <c r="H149" s="34" t="s">
        <v>47</v>
      </c>
      <c r="I149" s="35" t="n">
        <v>4.0</v>
      </c>
      <c r="J149" s="35"/>
      <c r="K149" s="37" t="n">
        <v>1.0</v>
      </c>
    </row>
    <row r="150">
      <c r="A150" s="35" t="s">
        <v>47</v>
      </c>
      <c r="B150" s="34" t="s">
        <v>47</v>
      </c>
      <c r="C150" s="35" t="s">
        <v>47</v>
      </c>
      <c r="D150" s="35" t="s">
        <v>47</v>
      </c>
      <c r="E150" s="34" t="s">
        <v>47</v>
      </c>
      <c r="F150" s="35" t="n">
        <v>0.0</v>
      </c>
      <c r="G150" s="34" t="s">
        <v>186</v>
      </c>
      <c r="H150" s="34" t="s">
        <v>47</v>
      </c>
      <c r="I150" s="35"/>
      <c r="J150" s="35"/>
      <c r="K150" s="37"/>
    </row>
    <row r="151">
      <c r="A151" s="35" t="s">
        <v>47</v>
      </c>
      <c r="B151" s="34" t="s">
        <v>47</v>
      </c>
      <c r="C151" s="35" t="s">
        <v>47</v>
      </c>
      <c r="D151" s="35" t="s">
        <v>47</v>
      </c>
      <c r="E151" s="34" t="s">
        <v>47</v>
      </c>
      <c r="F151" s="35" t="n">
        <v>1.0</v>
      </c>
      <c r="G151" s="34" t="s">
        <v>187</v>
      </c>
      <c r="H151" s="34" t="s">
        <v>47</v>
      </c>
      <c r="I151" s="35"/>
      <c r="J151" s="35"/>
      <c r="K151" s="37"/>
    </row>
    <row r="152">
      <c r="A152" s="35" t="s">
        <v>47</v>
      </c>
      <c r="B152" s="34" t="s">
        <v>47</v>
      </c>
      <c r="C152" s="35" t="s">
        <v>47</v>
      </c>
      <c r="D152" s="35" t="s">
        <v>47</v>
      </c>
      <c r="E152" s="34" t="s">
        <v>47</v>
      </c>
      <c r="F152" s="35" t="n">
        <v>2.0</v>
      </c>
      <c r="G152" s="34" t="s">
        <v>188</v>
      </c>
      <c r="H152" s="34" t="s">
        <v>47</v>
      </c>
      <c r="I152" s="35"/>
      <c r="J152" s="35"/>
      <c r="K152" s="37"/>
    </row>
    <row r="153">
      <c r="A153" s="35" t="s">
        <v>47</v>
      </c>
      <c r="B153" s="34" t="s">
        <v>47</v>
      </c>
      <c r="C153" s="35" t="s">
        <v>47</v>
      </c>
      <c r="D153" s="35" t="s">
        <v>47</v>
      </c>
      <c r="E153" s="34" t="s">
        <v>47</v>
      </c>
      <c r="F153" s="35" t="n">
        <v>3.0</v>
      </c>
      <c r="G153" s="34" t="s">
        <v>189</v>
      </c>
      <c r="H153" s="34" t="s">
        <v>47</v>
      </c>
      <c r="I153" s="35"/>
      <c r="J153" s="35"/>
      <c r="K153" s="37"/>
    </row>
    <row r="154">
      <c r="A154" s="35" t="s">
        <v>47</v>
      </c>
      <c r="B154" s="34" t="s">
        <v>47</v>
      </c>
      <c r="C154" s="35" t="s">
        <v>47</v>
      </c>
      <c r="D154" s="35" t="s">
        <v>79</v>
      </c>
      <c r="E154" s="34" t="s">
        <v>190</v>
      </c>
      <c r="F154" s="35" t="s">
        <v>47</v>
      </c>
      <c r="G154" s="34" t="s">
        <v>47</v>
      </c>
      <c r="H154" s="34" t="s">
        <v>47</v>
      </c>
      <c r="I154" s="35" t="n">
        <v>4.0</v>
      </c>
      <c r="J154" s="35"/>
      <c r="K154" s="37" t="n">
        <v>1.0</v>
      </c>
    </row>
    <row r="155">
      <c r="A155" s="35" t="s">
        <v>47</v>
      </c>
      <c r="B155" s="34" t="s">
        <v>47</v>
      </c>
      <c r="C155" s="35" t="s">
        <v>47</v>
      </c>
      <c r="D155" s="35" t="s">
        <v>47</v>
      </c>
      <c r="E155" s="34" t="s">
        <v>47</v>
      </c>
      <c r="F155" s="35" t="n">
        <v>0.0</v>
      </c>
      <c r="G155" s="34" t="s">
        <v>191</v>
      </c>
      <c r="H155" s="34" t="s">
        <v>47</v>
      </c>
      <c r="I155" s="35"/>
      <c r="J155" s="35"/>
      <c r="K155" s="37"/>
    </row>
    <row r="156">
      <c r="A156" s="35" t="s">
        <v>47</v>
      </c>
      <c r="B156" s="34" t="s">
        <v>47</v>
      </c>
      <c r="C156" s="35" t="s">
        <v>47</v>
      </c>
      <c r="D156" s="35" t="s">
        <v>47</v>
      </c>
      <c r="E156" s="34" t="s">
        <v>47</v>
      </c>
      <c r="F156" s="35" t="n">
        <v>1.0</v>
      </c>
      <c r="G156" s="34" t="s">
        <v>192</v>
      </c>
      <c r="H156" s="34" t="s">
        <v>47</v>
      </c>
      <c r="I156" s="35"/>
      <c r="J156" s="35"/>
      <c r="K156" s="37"/>
    </row>
    <row r="157">
      <c r="A157" s="35" t="s">
        <v>47</v>
      </c>
      <c r="B157" s="34" t="s">
        <v>47</v>
      </c>
      <c r="C157" s="35" t="s">
        <v>47</v>
      </c>
      <c r="D157" s="35" t="s">
        <v>47</v>
      </c>
      <c r="E157" s="34" t="s">
        <v>47</v>
      </c>
      <c r="F157" s="35" t="n">
        <v>2.0</v>
      </c>
      <c r="G157" s="34" t="s">
        <v>193</v>
      </c>
      <c r="H157" s="34" t="s">
        <v>47</v>
      </c>
      <c r="I157" s="35"/>
      <c r="J157" s="35"/>
      <c r="K157" s="37"/>
    </row>
    <row r="158">
      <c r="A158" s="35" t="s">
        <v>47</v>
      </c>
      <c r="B158" s="34" t="s">
        <v>47</v>
      </c>
      <c r="C158" s="35" t="s">
        <v>47</v>
      </c>
      <c r="D158" s="35" t="s">
        <v>47</v>
      </c>
      <c r="E158" s="34" t="s">
        <v>47</v>
      </c>
      <c r="F158" s="35" t="n">
        <v>3.0</v>
      </c>
      <c r="G158" s="34" t="s">
        <v>194</v>
      </c>
      <c r="H158" s="34" t="s">
        <v>47</v>
      </c>
      <c r="I158" s="35"/>
      <c r="J158" s="35"/>
      <c r="K158" s="37"/>
    </row>
    <row r="159">
      <c r="A159" s="35" t="s">
        <v>195</v>
      </c>
      <c r="B159" s="34" t="s">
        <v>196</v>
      </c>
      <c r="C159" s="35" t="s">
        <v>170</v>
      </c>
      <c r="D159" s="34" t="s">
        <v>47</v>
      </c>
      <c r="E159" s="34" t="s">
        <v>47</v>
      </c>
      <c r="F159" s="34" t="s">
        <v>47</v>
      </c>
      <c r="G159" s="34" t="s">
        <v>47</v>
      </c>
      <c r="H159" s="34" t="s">
        <v>47</v>
      </c>
      <c r="I159" s="34" t="s">
        <v>47</v>
      </c>
      <c r="J159" s="34" t="s">
        <v>47</v>
      </c>
      <c r="K159" s="34" t="s">
        <v>47</v>
      </c>
    </row>
    <row r="160">
      <c r="A160" s="35" t="s">
        <v>47</v>
      </c>
      <c r="B160" s="34" t="s">
        <v>47</v>
      </c>
      <c r="C160" s="35" t="s">
        <v>47</v>
      </c>
      <c r="D160" s="35" t="s">
        <v>49</v>
      </c>
      <c r="E160" s="34" t="s">
        <v>114</v>
      </c>
      <c r="F160" s="35" t="s">
        <v>47</v>
      </c>
      <c r="G160" s="34" t="s">
        <v>51</v>
      </c>
      <c r="H160" s="34" t="s">
        <v>47</v>
      </c>
      <c r="I160" s="35" t="n">
        <v>3.0</v>
      </c>
      <c r="J160" s="35"/>
      <c r="K160" s="37" t="n">
        <v>1.0</v>
      </c>
    </row>
    <row r="161">
      <c r="A161" s="35" t="s">
        <v>47</v>
      </c>
      <c r="B161" s="34" t="s">
        <v>47</v>
      </c>
      <c r="C161" s="35" t="s">
        <v>47</v>
      </c>
      <c r="D161" s="35" t="s">
        <v>49</v>
      </c>
      <c r="E161" s="34" t="s">
        <v>115</v>
      </c>
      <c r="F161" s="35" t="s">
        <v>47</v>
      </c>
      <c r="G161" s="34" t="s">
        <v>52</v>
      </c>
      <c r="H161" s="34" t="s">
        <v>47</v>
      </c>
      <c r="I161" s="35" t="n">
        <v>2.0</v>
      </c>
      <c r="J161" s="35"/>
      <c r="K161" s="37" t="n">
        <v>0.9</v>
      </c>
    </row>
    <row r="162">
      <c r="A162" s="35" t="s">
        <v>47</v>
      </c>
      <c r="B162" s="34" t="s">
        <v>47</v>
      </c>
      <c r="C162" s="35" t="s">
        <v>47</v>
      </c>
      <c r="D162" s="35" t="s">
        <v>49</v>
      </c>
      <c r="E162" s="34" t="s">
        <v>116</v>
      </c>
      <c r="F162" s="35" t="s">
        <v>47</v>
      </c>
      <c r="G162" s="34" t="s">
        <v>53</v>
      </c>
      <c r="H162" s="34" t="s">
        <v>47</v>
      </c>
      <c r="I162" s="35" t="n">
        <v>1.0</v>
      </c>
      <c r="J162" s="35"/>
      <c r="K162" s="37" t="n">
        <v>0.9</v>
      </c>
    </row>
    <row r="163">
      <c r="A163" s="35" t="s">
        <v>47</v>
      </c>
      <c r="B163" s="34" t="s">
        <v>47</v>
      </c>
      <c r="C163" s="35" t="s">
        <v>47</v>
      </c>
      <c r="D163" s="35" t="s">
        <v>49</v>
      </c>
      <c r="E163" s="34" t="s">
        <v>56</v>
      </c>
      <c r="F163" s="35" t="s">
        <v>47</v>
      </c>
      <c r="G163" s="34" t="s">
        <v>197</v>
      </c>
      <c r="H163" s="34" t="s">
        <v>47</v>
      </c>
      <c r="I163" s="35" t="n">
        <v>5.0</v>
      </c>
      <c r="J163" s="35"/>
      <c r="K163" s="37" t="n">
        <v>0.8</v>
      </c>
    </row>
    <row r="164">
      <c r="A164" s="35" t="s">
        <v>47</v>
      </c>
      <c r="B164" s="34" t="s">
        <v>47</v>
      </c>
      <c r="C164" s="35" t="s">
        <v>47</v>
      </c>
      <c r="D164" s="35" t="s">
        <v>49</v>
      </c>
      <c r="E164" s="34" t="s">
        <v>58</v>
      </c>
      <c r="F164" s="35" t="s">
        <v>47</v>
      </c>
      <c r="G164" s="34" t="s">
        <v>198</v>
      </c>
      <c r="H164" s="34" t="s">
        <v>47</v>
      </c>
      <c r="I164" s="35" t="n">
        <v>6.0</v>
      </c>
      <c r="J164" s="35"/>
      <c r="K164" s="37" t="n">
        <v>1.4</v>
      </c>
    </row>
    <row r="165">
      <c r="A165" s="35" t="s">
        <v>47</v>
      </c>
      <c r="B165" s="34" t="s">
        <v>47</v>
      </c>
      <c r="C165" s="35" t="s">
        <v>47</v>
      </c>
      <c r="D165" s="35" t="s">
        <v>49</v>
      </c>
      <c r="E165" s="34" t="s">
        <v>199</v>
      </c>
      <c r="F165" s="35" t="s">
        <v>47</v>
      </c>
      <c r="G165" s="34" t="s">
        <v>70</v>
      </c>
      <c r="H165" s="34" t="s">
        <v>47</v>
      </c>
      <c r="I165" s="35" t="n">
        <v>5.0</v>
      </c>
      <c r="J165" s="35"/>
      <c r="K165" s="37" t="n">
        <v>0.8</v>
      </c>
    </row>
    <row r="166">
      <c r="A166" s="35" t="s">
        <v>47</v>
      </c>
      <c r="B166" s="34" t="s">
        <v>47</v>
      </c>
      <c r="C166" s="35" t="s">
        <v>47</v>
      </c>
      <c r="D166" s="35" t="s">
        <v>49</v>
      </c>
      <c r="E166" s="34" t="s">
        <v>200</v>
      </c>
      <c r="F166" s="35" t="s">
        <v>47</v>
      </c>
      <c r="G166" s="34" t="s">
        <v>201</v>
      </c>
      <c r="H166" s="34" t="s">
        <v>47</v>
      </c>
      <c r="I166" s="35" t="n">
        <v>6.0</v>
      </c>
      <c r="J166" s="35"/>
      <c r="K166" s="37" t="n">
        <v>1.4</v>
      </c>
    </row>
    <row r="167">
      <c r="A167" s="35" t="s">
        <v>47</v>
      </c>
      <c r="B167" s="34" t="s">
        <v>47</v>
      </c>
      <c r="C167" s="35" t="s">
        <v>47</v>
      </c>
      <c r="D167" s="35" t="s">
        <v>49</v>
      </c>
      <c r="E167" s="34" t="s">
        <v>202</v>
      </c>
      <c r="F167" s="35" t="s">
        <v>47</v>
      </c>
      <c r="G167" s="34" t="s">
        <v>70</v>
      </c>
      <c r="H167" s="34" t="s">
        <v>47</v>
      </c>
      <c r="I167" s="35" t="n">
        <v>5.0</v>
      </c>
      <c r="J167" s="35"/>
      <c r="K167" s="37" t="n">
        <v>0.8</v>
      </c>
    </row>
    <row r="168">
      <c r="A168" s="35" t="s">
        <v>47</v>
      </c>
      <c r="B168" s="34" t="s">
        <v>47</v>
      </c>
      <c r="C168" s="35" t="s">
        <v>47</v>
      </c>
      <c r="D168" s="35" t="s">
        <v>49</v>
      </c>
      <c r="E168" s="34" t="s">
        <v>203</v>
      </c>
      <c r="F168" s="35" t="s">
        <v>47</v>
      </c>
      <c r="G168" s="34" t="s">
        <v>204</v>
      </c>
      <c r="H168" s="34" t="s">
        <v>47</v>
      </c>
      <c r="I168" s="35" t="n">
        <v>6.0</v>
      </c>
      <c r="J168" s="35"/>
      <c r="K168" s="37" t="n">
        <v>0.8</v>
      </c>
    </row>
    <row r="169">
      <c r="A169" s="35" t="s">
        <v>47</v>
      </c>
      <c r="B169" s="34" t="s">
        <v>47</v>
      </c>
      <c r="C169" s="35" t="s">
        <v>47</v>
      </c>
      <c r="D169" s="35" t="s">
        <v>49</v>
      </c>
      <c r="E169" s="34" t="s">
        <v>205</v>
      </c>
      <c r="F169" s="35" t="s">
        <v>47</v>
      </c>
      <c r="G169" s="34" t="s">
        <v>70</v>
      </c>
      <c r="H169" s="34" t="s">
        <v>47</v>
      </c>
      <c r="I169" s="35" t="n">
        <v>5.0</v>
      </c>
      <c r="J169" s="35"/>
      <c r="K169" s="37" t="n">
        <v>0.8</v>
      </c>
    </row>
    <row r="170">
      <c r="A170" s="35" t="s">
        <v>47</v>
      </c>
      <c r="B170" s="34" t="s">
        <v>47</v>
      </c>
      <c r="C170" s="35" t="s">
        <v>47</v>
      </c>
      <c r="D170" s="35" t="s">
        <v>49</v>
      </c>
      <c r="E170" s="34" t="s">
        <v>206</v>
      </c>
      <c r="F170" s="35" t="s">
        <v>47</v>
      </c>
      <c r="G170" s="34" t="s">
        <v>207</v>
      </c>
      <c r="H170" s="34" t="s">
        <v>47</v>
      </c>
      <c r="I170" s="35" t="n">
        <v>6.0</v>
      </c>
      <c r="J170" s="35"/>
      <c r="K170" s="37" t="n">
        <v>1.7</v>
      </c>
    </row>
    <row r="171">
      <c r="A171" s="35" t="s">
        <v>47</v>
      </c>
      <c r="B171" s="34" t="s">
        <v>47</v>
      </c>
      <c r="C171" s="35" t="s">
        <v>47</v>
      </c>
      <c r="D171" s="35" t="s">
        <v>49</v>
      </c>
      <c r="E171" s="34" t="s">
        <v>208</v>
      </c>
      <c r="F171" s="35" t="s">
        <v>47</v>
      </c>
      <c r="G171" s="34" t="s">
        <v>70</v>
      </c>
      <c r="H171" s="34" t="s">
        <v>47</v>
      </c>
      <c r="I171" s="35" t="n">
        <v>5.0</v>
      </c>
      <c r="J171" s="35"/>
      <c r="K171" s="37" t="n">
        <v>0.6</v>
      </c>
    </row>
    <row r="172">
      <c r="A172" s="35" t="s">
        <v>47</v>
      </c>
      <c r="B172" s="34" t="s">
        <v>47</v>
      </c>
      <c r="C172" s="35" t="s">
        <v>47</v>
      </c>
      <c r="D172" s="35" t="s">
        <v>49</v>
      </c>
      <c r="E172" s="34" t="s">
        <v>209</v>
      </c>
      <c r="F172" s="35" t="s">
        <v>47</v>
      </c>
      <c r="G172" s="34" t="s">
        <v>210</v>
      </c>
      <c r="H172" s="34" t="s">
        <v>47</v>
      </c>
      <c r="I172" s="35" t="n">
        <v>6.0</v>
      </c>
      <c r="J172" s="35"/>
      <c r="K172" s="37" t="n">
        <v>1.1</v>
      </c>
    </row>
    <row r="173">
      <c r="A173" s="35" t="s">
        <v>47</v>
      </c>
      <c r="B173" s="34" t="s">
        <v>47</v>
      </c>
      <c r="C173" s="35" t="s">
        <v>47</v>
      </c>
      <c r="D173" s="35" t="s">
        <v>79</v>
      </c>
      <c r="E173" s="34" t="s">
        <v>185</v>
      </c>
      <c r="F173" s="35" t="s">
        <v>47</v>
      </c>
      <c r="G173" s="34" t="s">
        <v>47</v>
      </c>
      <c r="H173" s="34" t="s">
        <v>47</v>
      </c>
      <c r="I173" s="35" t="n">
        <v>4.0</v>
      </c>
      <c r="J173" s="35"/>
      <c r="K173" s="37" t="n">
        <v>1.0</v>
      </c>
    </row>
    <row r="174">
      <c r="A174" s="35" t="s">
        <v>47</v>
      </c>
      <c r="B174" s="34" t="s">
        <v>47</v>
      </c>
      <c r="C174" s="35" t="s">
        <v>47</v>
      </c>
      <c r="D174" s="35" t="s">
        <v>47</v>
      </c>
      <c r="E174" s="34" t="s">
        <v>47</v>
      </c>
      <c r="F174" s="35" t="n">
        <v>0.0</v>
      </c>
      <c r="G174" s="34" t="s">
        <v>186</v>
      </c>
      <c r="H174" s="34" t="s">
        <v>47</v>
      </c>
      <c r="I174" s="35"/>
      <c r="J174" s="35"/>
      <c r="K174" s="37"/>
    </row>
    <row r="175">
      <c r="A175" s="35" t="s">
        <v>47</v>
      </c>
      <c r="B175" s="34" t="s">
        <v>47</v>
      </c>
      <c r="C175" s="35" t="s">
        <v>47</v>
      </c>
      <c r="D175" s="35" t="s">
        <v>47</v>
      </c>
      <c r="E175" s="34" t="s">
        <v>47</v>
      </c>
      <c r="F175" s="35" t="n">
        <v>1.0</v>
      </c>
      <c r="G175" s="34" t="s">
        <v>187</v>
      </c>
      <c r="H175" s="34" t="s">
        <v>47</v>
      </c>
      <c r="I175" s="35"/>
      <c r="J175" s="35"/>
      <c r="K175" s="37"/>
    </row>
    <row r="176">
      <c r="A176" s="35" t="s">
        <v>47</v>
      </c>
      <c r="B176" s="34" t="s">
        <v>47</v>
      </c>
      <c r="C176" s="35" t="s">
        <v>47</v>
      </c>
      <c r="D176" s="35" t="s">
        <v>47</v>
      </c>
      <c r="E176" s="34" t="s">
        <v>47</v>
      </c>
      <c r="F176" s="35" t="n">
        <v>2.0</v>
      </c>
      <c r="G176" s="34" t="s">
        <v>188</v>
      </c>
      <c r="H176" s="34" t="s">
        <v>47</v>
      </c>
      <c r="I176" s="35"/>
      <c r="J176" s="35"/>
      <c r="K176" s="37"/>
    </row>
    <row r="177">
      <c r="A177" s="35" t="s">
        <v>47</v>
      </c>
      <c r="B177" s="34" t="s">
        <v>47</v>
      </c>
      <c r="C177" s="35" t="s">
        <v>47</v>
      </c>
      <c r="D177" s="35" t="s">
        <v>47</v>
      </c>
      <c r="E177" s="34" t="s">
        <v>47</v>
      </c>
      <c r="F177" s="35" t="n">
        <v>3.0</v>
      </c>
      <c r="G177" s="34" t="s">
        <v>189</v>
      </c>
      <c r="H177" s="34" t="s">
        <v>47</v>
      </c>
      <c r="I177" s="35"/>
      <c r="J177" s="35"/>
      <c r="K177" s="37"/>
    </row>
    <row r="178">
      <c r="A178" s="35" t="s">
        <v>47</v>
      </c>
      <c r="B178" s="34" t="s">
        <v>47</v>
      </c>
      <c r="C178" s="35" t="s">
        <v>47</v>
      </c>
      <c r="D178" s="35" t="s">
        <v>79</v>
      </c>
      <c r="E178" s="34" t="s">
        <v>211</v>
      </c>
      <c r="F178" s="35" t="s">
        <v>47</v>
      </c>
      <c r="G178" s="34" t="s">
        <v>47</v>
      </c>
      <c r="H178" s="34" t="s">
        <v>47</v>
      </c>
      <c r="I178" s="35" t="n">
        <v>4.0</v>
      </c>
      <c r="J178" s="35"/>
      <c r="K178" s="37" t="n">
        <v>1.0</v>
      </c>
    </row>
    <row r="179">
      <c r="A179" s="35" t="s">
        <v>47</v>
      </c>
      <c r="B179" s="34" t="s">
        <v>47</v>
      </c>
      <c r="C179" s="35" t="s">
        <v>47</v>
      </c>
      <c r="D179" s="35" t="s">
        <v>47</v>
      </c>
      <c r="E179" s="34" t="s">
        <v>47</v>
      </c>
      <c r="F179" s="35" t="n">
        <v>0.0</v>
      </c>
      <c r="G179" s="34" t="s">
        <v>191</v>
      </c>
      <c r="H179" s="34" t="s">
        <v>47</v>
      </c>
      <c r="I179" s="35"/>
      <c r="J179" s="35"/>
      <c r="K179" s="37"/>
    </row>
    <row r="180">
      <c r="A180" s="35" t="s">
        <v>47</v>
      </c>
      <c r="B180" s="34" t="s">
        <v>47</v>
      </c>
      <c r="C180" s="35" t="s">
        <v>47</v>
      </c>
      <c r="D180" s="35" t="s">
        <v>47</v>
      </c>
      <c r="E180" s="34" t="s">
        <v>47</v>
      </c>
      <c r="F180" s="35" t="n">
        <v>1.0</v>
      </c>
      <c r="G180" s="34" t="s">
        <v>192</v>
      </c>
      <c r="H180" s="34" t="s">
        <v>47</v>
      </c>
      <c r="I180" s="35"/>
      <c r="J180" s="35"/>
      <c r="K180" s="37"/>
    </row>
    <row r="181">
      <c r="A181" s="35" t="s">
        <v>47</v>
      </c>
      <c r="B181" s="34" t="s">
        <v>47</v>
      </c>
      <c r="C181" s="35" t="s">
        <v>47</v>
      </c>
      <c r="D181" s="35" t="s">
        <v>47</v>
      </c>
      <c r="E181" s="34" t="s">
        <v>47</v>
      </c>
      <c r="F181" s="35" t="n">
        <v>2.0</v>
      </c>
      <c r="G181" s="34" t="s">
        <v>193</v>
      </c>
      <c r="H181" s="34" t="s">
        <v>47</v>
      </c>
      <c r="I181" s="35"/>
      <c r="J181" s="35"/>
      <c r="K181" s="37"/>
    </row>
    <row r="182">
      <c r="A182" s="35" t="s">
        <v>47</v>
      </c>
      <c r="B182" s="34" t="s">
        <v>47</v>
      </c>
      <c r="C182" s="35" t="s">
        <v>47</v>
      </c>
      <c r="D182" s="35" t="s">
        <v>47</v>
      </c>
      <c r="E182" s="34" t="s">
        <v>47</v>
      </c>
      <c r="F182" s="35" t="n">
        <v>3.0</v>
      </c>
      <c r="G182" s="34" t="s">
        <v>212</v>
      </c>
      <c r="H182" s="34" t="s">
        <v>47</v>
      </c>
      <c r="I182" s="35"/>
      <c r="J182" s="35"/>
      <c r="K182" s="37"/>
    </row>
    <row r="183">
      <c r="A183" s="35" t="s">
        <v>47</v>
      </c>
      <c r="B183" s="34" t="s">
        <v>47</v>
      </c>
      <c r="C183" s="35" t="s">
        <v>47</v>
      </c>
      <c r="D183" s="35" t="s">
        <v>47</v>
      </c>
      <c r="E183" s="34" t="s">
        <v>47</v>
      </c>
      <c r="F183" s="35" t="s">
        <v>47</v>
      </c>
      <c r="G183" s="34" t="s">
        <v>47</v>
      </c>
      <c r="H183" s="34" t="s">
        <v>47</v>
      </c>
      <c r="I183" s="35"/>
      <c r="J183" s="35"/>
      <c r="K183" s="37"/>
    </row>
    <row r="184">
      <c r="A184" s="35" t="s">
        <v>47</v>
      </c>
      <c r="B184" s="34" t="s">
        <v>47</v>
      </c>
      <c r="C184" s="35" t="s">
        <v>47</v>
      </c>
      <c r="D184" s="35" t="s">
        <v>47</v>
      </c>
      <c r="E184" s="34" t="s">
        <v>47</v>
      </c>
      <c r="F184" s="35" t="s">
        <v>47</v>
      </c>
      <c r="G184" s="34" t="s">
        <v>47</v>
      </c>
      <c r="H184" s="34" t="s">
        <v>47</v>
      </c>
      <c r="I184" s="35"/>
      <c r="J184" s="35"/>
      <c r="K184" s="37"/>
    </row>
    <row r="185">
      <c r="A185" s="72" t="s">
        <v>15</v>
      </c>
      <c r="B185" s="73" t="s">
        <v>16</v>
      </c>
      <c r="C185" s="74" t="s">
        <v>10</v>
      </c>
      <c r="D185" s="75" t="s">
        <v>6</v>
      </c>
      <c r="E185" s="76" t="s">
        <v>1</v>
      </c>
      <c r="F185" s="77" t="s">
        <v>2</v>
      </c>
      <c r="G185" s="78" t="s">
        <v>8</v>
      </c>
      <c r="H185" s="79" t="s">
        <v>9</v>
      </c>
      <c r="I185" s="80" t="s">
        <v>23</v>
      </c>
      <c r="J185" s="81" t="s">
        <v>11</v>
      </c>
      <c r="K185" s="82" t="s">
        <v>3</v>
      </c>
      <c r="L185" s="83" t="s">
        <v>213</v>
      </c>
      <c r="M185" s="84" t="s">
        <v>4</v>
      </c>
      <c r="N185" s="85">
        <f>SUM(K186:K230)</f>
      </c>
    </row>
    <row r="186">
      <c r="A186" s="35" t="s">
        <v>214</v>
      </c>
      <c r="B186" s="34" t="s">
        <v>215</v>
      </c>
      <c r="C186" s="35" t="s">
        <v>216</v>
      </c>
      <c r="D186" s="34" t="s">
        <v>47</v>
      </c>
      <c r="E186" s="34" t="s">
        <v>47</v>
      </c>
      <c r="F186" s="34" t="s">
        <v>47</v>
      </c>
      <c r="G186" s="34" t="s">
        <v>47</v>
      </c>
      <c r="H186" s="34" t="s">
        <v>47</v>
      </c>
      <c r="I186" s="34" t="s">
        <v>47</v>
      </c>
      <c r="J186" s="34" t="s">
        <v>47</v>
      </c>
      <c r="K186" s="34" t="s">
        <v>47</v>
      </c>
    </row>
    <row r="187">
      <c r="A187" s="35" t="s">
        <v>47</v>
      </c>
      <c r="B187" s="34" t="s">
        <v>47</v>
      </c>
      <c r="C187" s="35" t="s">
        <v>47</v>
      </c>
      <c r="D187" s="35" t="s">
        <v>49</v>
      </c>
      <c r="E187" s="34" t="s">
        <v>50</v>
      </c>
      <c r="F187" s="35" t="s">
        <v>47</v>
      </c>
      <c r="G187" s="34" t="s">
        <v>51</v>
      </c>
      <c r="H187" s="34" t="s">
        <v>47</v>
      </c>
      <c r="I187" s="35" t="n">
        <v>3.0</v>
      </c>
      <c r="J187" s="35"/>
      <c r="K187" s="37" t="n">
        <v>1.0</v>
      </c>
    </row>
    <row r="188">
      <c r="A188" s="35" t="s">
        <v>47</v>
      </c>
      <c r="B188" s="34" t="s">
        <v>47</v>
      </c>
      <c r="C188" s="35" t="s">
        <v>47</v>
      </c>
      <c r="D188" s="35" t="s">
        <v>49</v>
      </c>
      <c r="E188" s="34" t="s">
        <v>50</v>
      </c>
      <c r="F188" s="35" t="s">
        <v>47</v>
      </c>
      <c r="G188" s="34" t="s">
        <v>52</v>
      </c>
      <c r="H188" s="34" t="s">
        <v>47</v>
      </c>
      <c r="I188" s="35" t="n">
        <v>2.0</v>
      </c>
      <c r="J188" s="35"/>
      <c r="K188" s="37" t="n">
        <v>0.9</v>
      </c>
    </row>
    <row r="189">
      <c r="A189" s="35" t="s">
        <v>47</v>
      </c>
      <c r="B189" s="34" t="s">
        <v>47</v>
      </c>
      <c r="C189" s="35" t="s">
        <v>47</v>
      </c>
      <c r="D189" s="35" t="s">
        <v>49</v>
      </c>
      <c r="E189" s="34" t="s">
        <v>50</v>
      </c>
      <c r="F189" s="35" t="s">
        <v>47</v>
      </c>
      <c r="G189" s="34" t="s">
        <v>53</v>
      </c>
      <c r="H189" s="34" t="s">
        <v>47</v>
      </c>
      <c r="I189" s="35" t="n">
        <v>1.0</v>
      </c>
      <c r="J189" s="35"/>
      <c r="K189" s="37" t="n">
        <v>0.9</v>
      </c>
    </row>
    <row r="190">
      <c r="A190" s="35" t="s">
        <v>47</v>
      </c>
      <c r="B190" s="34" t="s">
        <v>47</v>
      </c>
      <c r="C190" s="35" t="s">
        <v>47</v>
      </c>
      <c r="D190" s="35" t="s">
        <v>49</v>
      </c>
      <c r="E190" s="34" t="s">
        <v>217</v>
      </c>
      <c r="F190" s="35" t="s">
        <v>47</v>
      </c>
      <c r="G190" s="34" t="s">
        <v>218</v>
      </c>
      <c r="H190" s="34" t="s">
        <v>47</v>
      </c>
      <c r="I190" s="35" t="n">
        <v>6.0</v>
      </c>
      <c r="J190" s="35"/>
      <c r="K190" s="37" t="n">
        <v>1.2</v>
      </c>
    </row>
    <row r="191">
      <c r="A191" s="35" t="s">
        <v>47</v>
      </c>
      <c r="B191" s="34" t="s">
        <v>47</v>
      </c>
      <c r="C191" s="35" t="s">
        <v>47</v>
      </c>
      <c r="D191" s="35" t="s">
        <v>49</v>
      </c>
      <c r="E191" s="34" t="s">
        <v>219</v>
      </c>
      <c r="F191" s="35" t="s">
        <v>47</v>
      </c>
      <c r="G191" s="34" t="s">
        <v>220</v>
      </c>
      <c r="H191" s="34" t="s">
        <v>47</v>
      </c>
      <c r="I191" s="35" t="n">
        <v>6.0</v>
      </c>
      <c r="J191" s="35"/>
      <c r="K191" s="37" t="n">
        <v>0.75</v>
      </c>
    </row>
    <row r="192">
      <c r="A192" s="35" t="s">
        <v>47</v>
      </c>
      <c r="B192" s="34" t="s">
        <v>47</v>
      </c>
      <c r="C192" s="35" t="s">
        <v>47</v>
      </c>
      <c r="D192" s="35" t="s">
        <v>49</v>
      </c>
      <c r="E192" s="34" t="s">
        <v>221</v>
      </c>
      <c r="F192" s="35" t="s">
        <v>47</v>
      </c>
      <c r="G192" s="34" t="s">
        <v>222</v>
      </c>
      <c r="H192" s="34" t="s">
        <v>47</v>
      </c>
      <c r="I192" s="35" t="n">
        <v>6.0</v>
      </c>
      <c r="J192" s="35"/>
      <c r="K192" s="37" t="n">
        <v>0.35</v>
      </c>
    </row>
    <row r="193">
      <c r="A193" s="35" t="s">
        <v>47</v>
      </c>
      <c r="B193" s="34" t="s">
        <v>47</v>
      </c>
      <c r="C193" s="35" t="s">
        <v>47</v>
      </c>
      <c r="D193" s="35" t="s">
        <v>49</v>
      </c>
      <c r="E193" s="34" t="s">
        <v>223</v>
      </c>
      <c r="F193" s="35" t="s">
        <v>47</v>
      </c>
      <c r="G193" s="34" t="s">
        <v>224</v>
      </c>
      <c r="H193" s="34" t="s">
        <v>47</v>
      </c>
      <c r="I193" s="35" t="n">
        <v>4.0</v>
      </c>
      <c r="J193" s="35"/>
      <c r="K193" s="37" t="n">
        <v>0.5</v>
      </c>
    </row>
    <row r="194">
      <c r="A194" s="35" t="s">
        <v>47</v>
      </c>
      <c r="B194" s="34" t="s">
        <v>47</v>
      </c>
      <c r="C194" s="35" t="s">
        <v>47</v>
      </c>
      <c r="D194" s="35" t="s">
        <v>49</v>
      </c>
      <c r="E194" s="34" t="s">
        <v>225</v>
      </c>
      <c r="F194" s="35" t="s">
        <v>47</v>
      </c>
      <c r="G194" s="34" t="s">
        <v>226</v>
      </c>
      <c r="H194" s="34" t="s">
        <v>47</v>
      </c>
      <c r="I194" s="35" t="n">
        <v>4.0</v>
      </c>
      <c r="J194" s="35"/>
      <c r="K194" s="37" t="n">
        <v>1.1</v>
      </c>
    </row>
    <row r="195">
      <c r="A195" s="35" t="s">
        <v>47</v>
      </c>
      <c r="B195" s="34" t="s">
        <v>47</v>
      </c>
      <c r="C195" s="35" t="s">
        <v>47</v>
      </c>
      <c r="D195" s="35" t="s">
        <v>49</v>
      </c>
      <c r="E195" s="34" t="s">
        <v>227</v>
      </c>
      <c r="F195" s="35" t="s">
        <v>47</v>
      </c>
      <c r="G195" s="34" t="s">
        <v>228</v>
      </c>
      <c r="H195" s="34" t="s">
        <v>47</v>
      </c>
      <c r="I195" s="35" t="n">
        <v>5.0</v>
      </c>
      <c r="J195" s="35"/>
      <c r="K195" s="37" t="n">
        <v>0.2</v>
      </c>
    </row>
    <row r="196">
      <c r="A196" s="35" t="s">
        <v>47</v>
      </c>
      <c r="B196" s="34" t="s">
        <v>47</v>
      </c>
      <c r="C196" s="35" t="s">
        <v>47</v>
      </c>
      <c r="D196" s="35" t="s">
        <v>49</v>
      </c>
      <c r="E196" s="34" t="s">
        <v>229</v>
      </c>
      <c r="F196" s="35" t="s">
        <v>47</v>
      </c>
      <c r="G196" s="34" t="s">
        <v>230</v>
      </c>
      <c r="H196" s="34" t="s">
        <v>47</v>
      </c>
      <c r="I196" s="35" t="n">
        <v>5.0</v>
      </c>
      <c r="J196" s="35"/>
      <c r="K196" s="37" t="n">
        <v>0.2</v>
      </c>
    </row>
    <row r="197">
      <c r="A197" s="35" t="s">
        <v>47</v>
      </c>
      <c r="B197" s="34" t="s">
        <v>47</v>
      </c>
      <c r="C197" s="35" t="s">
        <v>47</v>
      </c>
      <c r="D197" s="35" t="s">
        <v>49</v>
      </c>
      <c r="E197" s="34" t="s">
        <v>231</v>
      </c>
      <c r="F197" s="35" t="s">
        <v>47</v>
      </c>
      <c r="G197" s="34" t="s">
        <v>232</v>
      </c>
      <c r="H197" s="34" t="s">
        <v>47</v>
      </c>
      <c r="I197" s="35" t="n">
        <v>5.0</v>
      </c>
      <c r="J197" s="35"/>
      <c r="K197" s="37" t="n">
        <v>0.3</v>
      </c>
    </row>
    <row r="198">
      <c r="A198" s="35" t="s">
        <v>47</v>
      </c>
      <c r="B198" s="34" t="s">
        <v>47</v>
      </c>
      <c r="C198" s="35" t="s">
        <v>47</v>
      </c>
      <c r="D198" s="35" t="s">
        <v>49</v>
      </c>
      <c r="E198" s="34" t="s">
        <v>233</v>
      </c>
      <c r="F198" s="35" t="s">
        <v>47</v>
      </c>
      <c r="G198" s="34" t="s">
        <v>234</v>
      </c>
      <c r="H198" s="34" t="s">
        <v>47</v>
      </c>
      <c r="I198" s="35" t="n">
        <v>5.0</v>
      </c>
      <c r="J198" s="35"/>
      <c r="K198" s="37" t="n">
        <v>0.3</v>
      </c>
    </row>
    <row r="199">
      <c r="A199" s="35" t="s">
        <v>47</v>
      </c>
      <c r="B199" s="34" t="s">
        <v>47</v>
      </c>
      <c r="C199" s="35" t="s">
        <v>47</v>
      </c>
      <c r="D199" s="35" t="s">
        <v>49</v>
      </c>
      <c r="E199" s="34" t="s">
        <v>235</v>
      </c>
      <c r="F199" s="35" t="s">
        <v>47</v>
      </c>
      <c r="G199" s="34" t="s">
        <v>236</v>
      </c>
      <c r="H199" s="34" t="s">
        <v>47</v>
      </c>
      <c r="I199" s="35" t="n">
        <v>5.0</v>
      </c>
      <c r="J199" s="35"/>
      <c r="K199" s="37" t="n">
        <v>0.45</v>
      </c>
    </row>
    <row r="200">
      <c r="A200" s="35" t="s">
        <v>47</v>
      </c>
      <c r="B200" s="34" t="s">
        <v>47</v>
      </c>
      <c r="C200" s="35" t="s">
        <v>47</v>
      </c>
      <c r="D200" s="35" t="s">
        <v>49</v>
      </c>
      <c r="E200" s="34" t="s">
        <v>237</v>
      </c>
      <c r="F200" s="35" t="s">
        <v>47</v>
      </c>
      <c r="G200" s="34" t="s">
        <v>238</v>
      </c>
      <c r="H200" s="34" t="s">
        <v>47</v>
      </c>
      <c r="I200" s="35" t="n">
        <v>6.0</v>
      </c>
      <c r="J200" s="35"/>
      <c r="K200" s="37" t="n">
        <v>0.4</v>
      </c>
    </row>
    <row r="201">
      <c r="A201" s="35" t="s">
        <v>47</v>
      </c>
      <c r="B201" s="34" t="s">
        <v>47</v>
      </c>
      <c r="C201" s="35" t="s">
        <v>47</v>
      </c>
      <c r="D201" s="35" t="s">
        <v>49</v>
      </c>
      <c r="E201" s="34" t="s">
        <v>239</v>
      </c>
      <c r="F201" s="35" t="s">
        <v>47</v>
      </c>
      <c r="G201" s="34" t="s">
        <v>240</v>
      </c>
      <c r="H201" s="34" t="s">
        <v>47</v>
      </c>
      <c r="I201" s="35" t="n">
        <v>4.0</v>
      </c>
      <c r="J201" s="35"/>
      <c r="K201" s="37" t="n">
        <v>0.45</v>
      </c>
    </row>
    <row r="202">
      <c r="A202" s="35" t="s">
        <v>47</v>
      </c>
      <c r="B202" s="34" t="s">
        <v>47</v>
      </c>
      <c r="C202" s="35" t="s">
        <v>47</v>
      </c>
      <c r="D202" s="35" t="s">
        <v>79</v>
      </c>
      <c r="E202" s="34" t="s">
        <v>241</v>
      </c>
      <c r="F202" s="35" t="s">
        <v>47</v>
      </c>
      <c r="G202" s="34" t="s">
        <v>47</v>
      </c>
      <c r="H202" s="34" t="s">
        <v>47</v>
      </c>
      <c r="I202" s="35" t="n">
        <v>4.0</v>
      </c>
      <c r="J202" s="35"/>
      <c r="K202" s="37" t="n">
        <v>1.0</v>
      </c>
    </row>
    <row r="203">
      <c r="A203" s="35" t="s">
        <v>47</v>
      </c>
      <c r="B203" s="34" t="s">
        <v>47</v>
      </c>
      <c r="C203" s="35" t="s">
        <v>47</v>
      </c>
      <c r="D203" s="35" t="s">
        <v>47</v>
      </c>
      <c r="E203" s="34" t="s">
        <v>47</v>
      </c>
      <c r="F203" s="35" t="n">
        <v>0.0</v>
      </c>
      <c r="G203" s="34" t="s">
        <v>106</v>
      </c>
      <c r="H203" s="34" t="s">
        <v>47</v>
      </c>
      <c r="I203" s="35"/>
      <c r="J203" s="35"/>
      <c r="K203" s="37"/>
    </row>
    <row r="204">
      <c r="A204" s="35" t="s">
        <v>47</v>
      </c>
      <c r="B204" s="34" t="s">
        <v>47</v>
      </c>
      <c r="C204" s="35" t="s">
        <v>47</v>
      </c>
      <c r="D204" s="35" t="s">
        <v>47</v>
      </c>
      <c r="E204" s="34" t="s">
        <v>47</v>
      </c>
      <c r="F204" s="35" t="n">
        <v>1.0</v>
      </c>
      <c r="G204" s="34" t="s">
        <v>242</v>
      </c>
      <c r="H204" s="34" t="s">
        <v>47</v>
      </c>
      <c r="I204" s="35"/>
      <c r="J204" s="35"/>
      <c r="K204" s="37"/>
    </row>
    <row r="205">
      <c r="A205" s="35" t="s">
        <v>47</v>
      </c>
      <c r="B205" s="34" t="s">
        <v>47</v>
      </c>
      <c r="C205" s="35" t="s">
        <v>47</v>
      </c>
      <c r="D205" s="35" t="s">
        <v>47</v>
      </c>
      <c r="E205" s="34" t="s">
        <v>47</v>
      </c>
      <c r="F205" s="35" t="n">
        <v>2.0</v>
      </c>
      <c r="G205" s="34" t="s">
        <v>243</v>
      </c>
      <c r="H205" s="34" t="s">
        <v>47</v>
      </c>
      <c r="I205" s="35"/>
      <c r="J205" s="35"/>
      <c r="K205" s="37"/>
    </row>
    <row r="206">
      <c r="A206" s="35" t="s">
        <v>47</v>
      </c>
      <c r="B206" s="34" t="s">
        <v>47</v>
      </c>
      <c r="C206" s="35" t="s">
        <v>47</v>
      </c>
      <c r="D206" s="35" t="s">
        <v>47</v>
      </c>
      <c r="E206" s="34" t="s">
        <v>47</v>
      </c>
      <c r="F206" s="35" t="n">
        <v>3.0</v>
      </c>
      <c r="G206" s="34" t="s">
        <v>244</v>
      </c>
      <c r="H206" s="34" t="s">
        <v>47</v>
      </c>
      <c r="I206" s="35"/>
      <c r="J206" s="35"/>
      <c r="K206" s="37"/>
    </row>
    <row r="207">
      <c r="A207" s="35" t="s">
        <v>245</v>
      </c>
      <c r="B207" s="34" t="s">
        <v>246</v>
      </c>
      <c r="C207" s="35" t="s">
        <v>216</v>
      </c>
      <c r="D207" s="34" t="s">
        <v>47</v>
      </c>
      <c r="E207" s="34" t="s">
        <v>47</v>
      </c>
      <c r="F207" s="34" t="s">
        <v>47</v>
      </c>
      <c r="G207" s="34" t="s">
        <v>47</v>
      </c>
      <c r="H207" s="34" t="s">
        <v>47</v>
      </c>
      <c r="I207" s="34" t="s">
        <v>47</v>
      </c>
      <c r="J207" s="34" t="s">
        <v>47</v>
      </c>
      <c r="K207" s="34" t="s">
        <v>47</v>
      </c>
    </row>
    <row r="208">
      <c r="A208" s="35" t="s">
        <v>47</v>
      </c>
      <c r="B208" s="34" t="s">
        <v>47</v>
      </c>
      <c r="C208" s="35" t="s">
        <v>47</v>
      </c>
      <c r="D208" s="35" t="s">
        <v>49</v>
      </c>
      <c r="E208" s="34" t="s">
        <v>247</v>
      </c>
      <c r="F208" s="35" t="s">
        <v>47</v>
      </c>
      <c r="G208" s="34" t="s">
        <v>248</v>
      </c>
      <c r="H208" s="34" t="s">
        <v>47</v>
      </c>
      <c r="I208" s="35" t="n">
        <v>7.0</v>
      </c>
      <c r="J208" s="35"/>
      <c r="K208" s="37" t="n">
        <v>1.0</v>
      </c>
    </row>
    <row r="209">
      <c r="A209" s="35" t="s">
        <v>47</v>
      </c>
      <c r="B209" s="34" t="s">
        <v>47</v>
      </c>
      <c r="C209" s="35" t="s">
        <v>47</v>
      </c>
      <c r="D209" s="35" t="s">
        <v>49</v>
      </c>
      <c r="E209" s="34" t="s">
        <v>249</v>
      </c>
      <c r="F209" s="35" t="s">
        <v>47</v>
      </c>
      <c r="G209" s="34" t="s">
        <v>250</v>
      </c>
      <c r="H209" s="34" t="s">
        <v>47</v>
      </c>
      <c r="I209" s="35" t="n">
        <v>7.0</v>
      </c>
      <c r="J209" s="35"/>
      <c r="K209" s="37" t="n">
        <v>0.45</v>
      </c>
    </row>
    <row r="210">
      <c r="A210" s="35" t="s">
        <v>47</v>
      </c>
      <c r="B210" s="34" t="s">
        <v>47</v>
      </c>
      <c r="C210" s="35" t="s">
        <v>47</v>
      </c>
      <c r="D210" s="35" t="s">
        <v>49</v>
      </c>
      <c r="E210" s="34" t="s">
        <v>251</v>
      </c>
      <c r="F210" s="35" t="s">
        <v>47</v>
      </c>
      <c r="G210" s="34" t="s">
        <v>252</v>
      </c>
      <c r="H210" s="34" t="s">
        <v>47</v>
      </c>
      <c r="I210" s="35" t="n">
        <v>7.0</v>
      </c>
      <c r="J210" s="35"/>
      <c r="K210" s="37" t="n">
        <v>0.45</v>
      </c>
    </row>
    <row r="211">
      <c r="A211" s="35" t="s">
        <v>47</v>
      </c>
      <c r="B211" s="34" t="s">
        <v>47</v>
      </c>
      <c r="C211" s="35" t="s">
        <v>47</v>
      </c>
      <c r="D211" s="35" t="s">
        <v>49</v>
      </c>
      <c r="E211" s="34" t="s">
        <v>253</v>
      </c>
      <c r="F211" s="35" t="s">
        <v>47</v>
      </c>
      <c r="G211" s="34" t="s">
        <v>254</v>
      </c>
      <c r="H211" s="34" t="s">
        <v>47</v>
      </c>
      <c r="I211" s="35" t="n">
        <v>7.0</v>
      </c>
      <c r="J211" s="35"/>
      <c r="K211" s="37" t="n">
        <v>0.45</v>
      </c>
    </row>
    <row r="212">
      <c r="A212" s="35" t="s">
        <v>47</v>
      </c>
      <c r="B212" s="34" t="s">
        <v>47</v>
      </c>
      <c r="C212" s="35" t="s">
        <v>47</v>
      </c>
      <c r="D212" s="35" t="s">
        <v>49</v>
      </c>
      <c r="E212" s="34" t="s">
        <v>255</v>
      </c>
      <c r="F212" s="35" t="s">
        <v>47</v>
      </c>
      <c r="G212" s="34" t="s">
        <v>256</v>
      </c>
      <c r="H212" s="34" t="s">
        <v>47</v>
      </c>
      <c r="I212" s="35" t="n">
        <v>7.0</v>
      </c>
      <c r="J212" s="35"/>
      <c r="K212" s="37" t="n">
        <v>0.45</v>
      </c>
    </row>
    <row r="213">
      <c r="A213" s="35" t="s">
        <v>47</v>
      </c>
      <c r="B213" s="34" t="s">
        <v>47</v>
      </c>
      <c r="C213" s="35" t="s">
        <v>47</v>
      </c>
      <c r="D213" s="35" t="s">
        <v>49</v>
      </c>
      <c r="E213" s="34" t="s">
        <v>257</v>
      </c>
      <c r="F213" s="35" t="s">
        <v>47</v>
      </c>
      <c r="G213" s="34" t="s">
        <v>258</v>
      </c>
      <c r="H213" s="34" t="s">
        <v>47</v>
      </c>
      <c r="I213" s="35" t="n">
        <v>7.0</v>
      </c>
      <c r="J213" s="35"/>
      <c r="K213" s="37" t="n">
        <v>0.45</v>
      </c>
    </row>
    <row r="214">
      <c r="A214" s="35" t="s">
        <v>47</v>
      </c>
      <c r="B214" s="34" t="s">
        <v>47</v>
      </c>
      <c r="C214" s="35" t="s">
        <v>47</v>
      </c>
      <c r="D214" s="35" t="s">
        <v>49</v>
      </c>
      <c r="E214" s="34" t="s">
        <v>259</v>
      </c>
      <c r="F214" s="35" t="s">
        <v>47</v>
      </c>
      <c r="G214" s="34" t="s">
        <v>260</v>
      </c>
      <c r="H214" s="34" t="s">
        <v>47</v>
      </c>
      <c r="I214" s="35" t="n">
        <v>7.0</v>
      </c>
      <c r="J214" s="35"/>
      <c r="K214" s="37" t="n">
        <v>0.45</v>
      </c>
    </row>
    <row r="215">
      <c r="A215" s="35" t="s">
        <v>47</v>
      </c>
      <c r="B215" s="34" t="s">
        <v>47</v>
      </c>
      <c r="C215" s="35" t="s">
        <v>47</v>
      </c>
      <c r="D215" s="35" t="s">
        <v>49</v>
      </c>
      <c r="E215" s="34" t="s">
        <v>261</v>
      </c>
      <c r="F215" s="35" t="s">
        <v>47</v>
      </c>
      <c r="G215" s="34" t="s">
        <v>262</v>
      </c>
      <c r="H215" s="34" t="s">
        <v>47</v>
      </c>
      <c r="I215" s="35" t="n">
        <v>7.0</v>
      </c>
      <c r="J215" s="35"/>
      <c r="K215" s="37" t="n">
        <v>0.45</v>
      </c>
    </row>
    <row r="216">
      <c r="A216" s="35" t="s">
        <v>47</v>
      </c>
      <c r="B216" s="34" t="s">
        <v>47</v>
      </c>
      <c r="C216" s="35" t="s">
        <v>47</v>
      </c>
      <c r="D216" s="35" t="s">
        <v>49</v>
      </c>
      <c r="E216" s="34" t="s">
        <v>263</v>
      </c>
      <c r="F216" s="35" t="s">
        <v>47</v>
      </c>
      <c r="G216" s="34" t="s">
        <v>264</v>
      </c>
      <c r="H216" s="34" t="s">
        <v>47</v>
      </c>
      <c r="I216" s="35" t="n">
        <v>7.0</v>
      </c>
      <c r="J216" s="35"/>
      <c r="K216" s="37" t="n">
        <v>0.45</v>
      </c>
    </row>
    <row r="217">
      <c r="A217" s="35" t="s">
        <v>47</v>
      </c>
      <c r="B217" s="34" t="s">
        <v>47</v>
      </c>
      <c r="C217" s="35" t="s">
        <v>47</v>
      </c>
      <c r="D217" s="35" t="s">
        <v>49</v>
      </c>
      <c r="E217" s="34" t="s">
        <v>265</v>
      </c>
      <c r="F217" s="35" t="s">
        <v>47</v>
      </c>
      <c r="G217" s="34" t="s">
        <v>266</v>
      </c>
      <c r="H217" s="34" t="s">
        <v>47</v>
      </c>
      <c r="I217" s="35" t="n">
        <v>7.0</v>
      </c>
      <c r="J217" s="35"/>
      <c r="K217" s="37" t="n">
        <v>0.45</v>
      </c>
    </row>
    <row r="218">
      <c r="A218" s="35" t="s">
        <v>47</v>
      </c>
      <c r="B218" s="34" t="s">
        <v>47</v>
      </c>
      <c r="C218" s="35" t="s">
        <v>47</v>
      </c>
      <c r="D218" s="35" t="s">
        <v>49</v>
      </c>
      <c r="E218" s="34" t="s">
        <v>267</v>
      </c>
      <c r="F218" s="35" t="s">
        <v>47</v>
      </c>
      <c r="G218" s="34" t="s">
        <v>268</v>
      </c>
      <c r="H218" s="34" t="s">
        <v>47</v>
      </c>
      <c r="I218" s="35" t="n">
        <v>7.0</v>
      </c>
      <c r="J218" s="35"/>
      <c r="K218" s="37" t="n">
        <v>0.45</v>
      </c>
    </row>
    <row r="219">
      <c r="A219" s="35" t="s">
        <v>47</v>
      </c>
      <c r="B219" s="34" t="s">
        <v>47</v>
      </c>
      <c r="C219" s="35" t="s">
        <v>47</v>
      </c>
      <c r="D219" s="35" t="s">
        <v>49</v>
      </c>
      <c r="E219" s="34" t="s">
        <v>269</v>
      </c>
      <c r="F219" s="35" t="s">
        <v>47</v>
      </c>
      <c r="G219" s="34" t="s">
        <v>270</v>
      </c>
      <c r="H219" s="34" t="s">
        <v>47</v>
      </c>
      <c r="I219" s="35" t="n">
        <v>7.0</v>
      </c>
      <c r="J219" s="35"/>
      <c r="K219" s="37" t="n">
        <v>0.45</v>
      </c>
    </row>
    <row r="220">
      <c r="A220" s="35" t="s">
        <v>47</v>
      </c>
      <c r="B220" s="34" t="s">
        <v>47</v>
      </c>
      <c r="C220" s="35" t="s">
        <v>47</v>
      </c>
      <c r="D220" s="35" t="s">
        <v>49</v>
      </c>
      <c r="E220" s="34" t="s">
        <v>271</v>
      </c>
      <c r="F220" s="35" t="s">
        <v>47</v>
      </c>
      <c r="G220" s="34" t="s">
        <v>272</v>
      </c>
      <c r="H220" s="34" t="s">
        <v>47</v>
      </c>
      <c r="I220" s="35" t="n">
        <v>7.0</v>
      </c>
      <c r="J220" s="35"/>
      <c r="K220" s="37" t="n">
        <v>0.45</v>
      </c>
    </row>
    <row r="221">
      <c r="A221" s="35" t="s">
        <v>47</v>
      </c>
      <c r="B221" s="34" t="s">
        <v>47</v>
      </c>
      <c r="C221" s="35" t="s">
        <v>47</v>
      </c>
      <c r="D221" s="35" t="s">
        <v>49</v>
      </c>
      <c r="E221" s="34" t="s">
        <v>273</v>
      </c>
      <c r="F221" s="35" t="s">
        <v>47</v>
      </c>
      <c r="G221" s="34" t="s">
        <v>274</v>
      </c>
      <c r="H221" s="34" t="s">
        <v>47</v>
      </c>
      <c r="I221" s="35" t="n">
        <v>7.0</v>
      </c>
      <c r="J221" s="35"/>
      <c r="K221" s="37" t="n">
        <v>0.45</v>
      </c>
    </row>
    <row r="222">
      <c r="A222" s="35" t="s">
        <v>47</v>
      </c>
      <c r="B222" s="34" t="s">
        <v>47</v>
      </c>
      <c r="C222" s="35" t="s">
        <v>47</v>
      </c>
      <c r="D222" s="35" t="s">
        <v>49</v>
      </c>
      <c r="E222" s="34" t="s">
        <v>275</v>
      </c>
      <c r="F222" s="35" t="s">
        <v>47</v>
      </c>
      <c r="G222" s="34" t="s">
        <v>276</v>
      </c>
      <c r="H222" s="34" t="s">
        <v>47</v>
      </c>
      <c r="I222" s="35" t="n">
        <v>7.0</v>
      </c>
      <c r="J222" s="35"/>
      <c r="K222" s="37" t="n">
        <v>0.45</v>
      </c>
    </row>
    <row r="223">
      <c r="A223" s="35" t="s">
        <v>47</v>
      </c>
      <c r="B223" s="34" t="s">
        <v>47</v>
      </c>
      <c r="C223" s="35" t="s">
        <v>47</v>
      </c>
      <c r="D223" s="35" t="s">
        <v>49</v>
      </c>
      <c r="E223" s="34" t="s">
        <v>277</v>
      </c>
      <c r="F223" s="35" t="s">
        <v>47</v>
      </c>
      <c r="G223" s="34" t="s">
        <v>278</v>
      </c>
      <c r="H223" s="34" t="s">
        <v>47</v>
      </c>
      <c r="I223" s="35" t="n">
        <v>7.0</v>
      </c>
      <c r="J223" s="35"/>
      <c r="K223" s="37" t="n">
        <v>0.45</v>
      </c>
    </row>
    <row r="224">
      <c r="A224" s="35" t="s">
        <v>47</v>
      </c>
      <c r="B224" s="34" t="s">
        <v>47</v>
      </c>
      <c r="C224" s="35" t="s">
        <v>47</v>
      </c>
      <c r="D224" s="35" t="s">
        <v>49</v>
      </c>
      <c r="E224" s="34" t="s">
        <v>279</v>
      </c>
      <c r="F224" s="35" t="s">
        <v>47</v>
      </c>
      <c r="G224" s="34" t="s">
        <v>280</v>
      </c>
      <c r="H224" s="34" t="s">
        <v>47</v>
      </c>
      <c r="I224" s="35" t="n">
        <v>7.0</v>
      </c>
      <c r="J224" s="35"/>
      <c r="K224" s="37" t="n">
        <v>0.45</v>
      </c>
    </row>
    <row r="225">
      <c r="A225" s="35" t="s">
        <v>47</v>
      </c>
      <c r="B225" s="34" t="s">
        <v>47</v>
      </c>
      <c r="C225" s="35" t="s">
        <v>47</v>
      </c>
      <c r="D225" s="35" t="s">
        <v>49</v>
      </c>
      <c r="E225" s="34" t="s">
        <v>281</v>
      </c>
      <c r="F225" s="35" t="s">
        <v>47</v>
      </c>
      <c r="G225" s="34" t="s">
        <v>282</v>
      </c>
      <c r="H225" s="34" t="s">
        <v>47</v>
      </c>
      <c r="I225" s="35" t="n">
        <v>7.0</v>
      </c>
      <c r="J225" s="35"/>
      <c r="K225" s="37" t="n">
        <v>0.45</v>
      </c>
    </row>
    <row r="226">
      <c r="A226" s="35" t="s">
        <v>47</v>
      </c>
      <c r="B226" s="34" t="s">
        <v>47</v>
      </c>
      <c r="C226" s="35" t="s">
        <v>47</v>
      </c>
      <c r="D226" s="35" t="s">
        <v>49</v>
      </c>
      <c r="E226" s="34" t="s">
        <v>283</v>
      </c>
      <c r="F226" s="35" t="s">
        <v>47</v>
      </c>
      <c r="G226" s="34" t="s">
        <v>284</v>
      </c>
      <c r="H226" s="34" t="s">
        <v>47</v>
      </c>
      <c r="I226" s="35" t="n">
        <v>7.0</v>
      </c>
      <c r="J226" s="35"/>
      <c r="K226" s="37" t="n">
        <v>0.45</v>
      </c>
    </row>
    <row r="227">
      <c r="A227" s="35" t="s">
        <v>47</v>
      </c>
      <c r="B227" s="34" t="s">
        <v>47</v>
      </c>
      <c r="C227" s="35" t="s">
        <v>47</v>
      </c>
      <c r="D227" s="35" t="s">
        <v>49</v>
      </c>
      <c r="E227" s="34" t="s">
        <v>285</v>
      </c>
      <c r="F227" s="35" t="s">
        <v>47</v>
      </c>
      <c r="G227" s="34" t="s">
        <v>286</v>
      </c>
      <c r="H227" s="34" t="s">
        <v>47</v>
      </c>
      <c r="I227" s="35" t="n">
        <v>7.0</v>
      </c>
      <c r="J227" s="35"/>
      <c r="K227" s="37" t="n">
        <v>0.45</v>
      </c>
    </row>
    <row r="228">
      <c r="A228" s="35" t="s">
        <v>47</v>
      </c>
      <c r="B228" s="34" t="s">
        <v>47</v>
      </c>
      <c r="C228" s="35" t="s">
        <v>47</v>
      </c>
      <c r="D228" s="35" t="s">
        <v>49</v>
      </c>
      <c r="E228" s="34" t="s">
        <v>287</v>
      </c>
      <c r="F228" s="35" t="s">
        <v>47</v>
      </c>
      <c r="G228" s="34" t="s">
        <v>288</v>
      </c>
      <c r="H228" s="34" t="s">
        <v>47</v>
      </c>
      <c r="I228" s="35" t="n">
        <v>4.0</v>
      </c>
      <c r="J228" s="35"/>
      <c r="K228" s="37" t="n">
        <v>0.45</v>
      </c>
    </row>
    <row r="229">
      <c r="A229" s="35" t="s">
        <v>47</v>
      </c>
      <c r="B229" s="34" t="s">
        <v>47</v>
      </c>
      <c r="C229" s="35" t="s">
        <v>47</v>
      </c>
      <c r="D229" s="35" t="s">
        <v>47</v>
      </c>
      <c r="E229" s="34" t="s">
        <v>47</v>
      </c>
      <c r="F229" s="35" t="s">
        <v>47</v>
      </c>
      <c r="G229" s="34" t="s">
        <v>47</v>
      </c>
      <c r="H229" s="34" t="s">
        <v>47</v>
      </c>
      <c r="I229" s="35"/>
      <c r="J229" s="35"/>
      <c r="K229" s="37"/>
    </row>
    <row r="230">
      <c r="A230" s="35" t="s">
        <v>47</v>
      </c>
      <c r="B230" s="34" t="s">
        <v>47</v>
      </c>
      <c r="C230" s="35" t="s">
        <v>47</v>
      </c>
      <c r="D230" s="35" t="s">
        <v>47</v>
      </c>
      <c r="E230" s="34" t="s">
        <v>47</v>
      </c>
      <c r="F230" s="35" t="s">
        <v>47</v>
      </c>
      <c r="G230" s="34" t="s">
        <v>47</v>
      </c>
      <c r="H230" s="34" t="s">
        <v>47</v>
      </c>
      <c r="I230" s="35"/>
      <c r="J230" s="35"/>
      <c r="K230" s="37"/>
    </row>
    <row r="231">
      <c r="A231" s="86" t="s">
        <v>15</v>
      </c>
      <c r="B231" s="87" t="s">
        <v>16</v>
      </c>
      <c r="C231" s="88" t="s">
        <v>10</v>
      </c>
      <c r="D231" s="89" t="s">
        <v>6</v>
      </c>
      <c r="E231" s="90" t="s">
        <v>1</v>
      </c>
      <c r="F231" s="91" t="s">
        <v>2</v>
      </c>
      <c r="G231" s="92" t="s">
        <v>8</v>
      </c>
      <c r="H231" s="93" t="s">
        <v>9</v>
      </c>
      <c r="I231" s="94" t="s">
        <v>23</v>
      </c>
      <c r="J231" s="95" t="s">
        <v>11</v>
      </c>
      <c r="K231" s="96" t="s">
        <v>3</v>
      </c>
      <c r="L231" s="97" t="s">
        <v>289</v>
      </c>
      <c r="M231" s="98" t="s">
        <v>4</v>
      </c>
      <c r="N231" s="99">
        <f>SUM(K232:K233)</f>
      </c>
    </row>
    <row r="232">
      <c r="A232" s="35" t="s">
        <v>47</v>
      </c>
      <c r="B232" s="34" t="s">
        <v>47</v>
      </c>
      <c r="C232" s="35" t="s">
        <v>47</v>
      </c>
      <c r="D232" s="35" t="s">
        <v>47</v>
      </c>
      <c r="E232" s="34" t="s">
        <v>47</v>
      </c>
      <c r="F232" s="35" t="s">
        <v>47</v>
      </c>
      <c r="G232" s="34" t="s">
        <v>47</v>
      </c>
      <c r="H232" s="34" t="s">
        <v>47</v>
      </c>
      <c r="I232" s="35"/>
      <c r="J232" s="35"/>
      <c r="K232" s="37"/>
    </row>
    <row r="233">
      <c r="A233" s="35" t="s">
        <v>47</v>
      </c>
      <c r="B233" s="34" t="s">
        <v>47</v>
      </c>
      <c r="C233" s="35" t="s">
        <v>47</v>
      </c>
      <c r="D233" s="35" t="s">
        <v>47</v>
      </c>
      <c r="E233" s="34" t="s">
        <v>47</v>
      </c>
      <c r="F233" s="35" t="s">
        <v>47</v>
      </c>
      <c r="G233" s="34" t="s">
        <v>47</v>
      </c>
      <c r="H233" s="34" t="s">
        <v>47</v>
      </c>
      <c r="I233" s="35"/>
      <c r="J233" s="35"/>
      <c r="K233" s="37"/>
    </row>
    <row r="234">
      <c r="A234" s="100" t="s">
        <v>15</v>
      </c>
      <c r="B234" s="101" t="s">
        <v>16</v>
      </c>
      <c r="C234" s="102" t="s">
        <v>10</v>
      </c>
      <c r="D234" s="103" t="s">
        <v>6</v>
      </c>
      <c r="E234" s="104" t="s">
        <v>1</v>
      </c>
      <c r="F234" s="105" t="s">
        <v>2</v>
      </c>
      <c r="G234" s="106" t="s">
        <v>8</v>
      </c>
      <c r="H234" s="107" t="s">
        <v>9</v>
      </c>
      <c r="I234" s="108" t="s">
        <v>23</v>
      </c>
      <c r="J234" s="109" t="s">
        <v>11</v>
      </c>
      <c r="K234" s="110" t="s">
        <v>3</v>
      </c>
      <c r="L234" s="111" t="s">
        <v>290</v>
      </c>
      <c r="M234" s="112" t="s">
        <v>4</v>
      </c>
      <c r="N234" s="113">
        <f>SUM(K235:K236)</f>
      </c>
    </row>
    <row r="235">
      <c r="A235" s="35" t="s">
        <v>47</v>
      </c>
      <c r="B235" s="34" t="s">
        <v>47</v>
      </c>
      <c r="C235" s="35" t="s">
        <v>47</v>
      </c>
      <c r="D235" s="35" t="s">
        <v>47</v>
      </c>
      <c r="E235" s="34" t="s">
        <v>47</v>
      </c>
      <c r="F235" s="35" t="s">
        <v>47</v>
      </c>
      <c r="G235" s="34" t="s">
        <v>47</v>
      </c>
      <c r="H235" s="34" t="s">
        <v>47</v>
      </c>
      <c r="I235" s="35"/>
      <c r="J235" s="35"/>
      <c r="K235" s="37"/>
    </row>
    <row r="236">
      <c r="A236" s="35" t="s">
        <v>47</v>
      </c>
      <c r="B236" s="34" t="s">
        <v>47</v>
      </c>
      <c r="C236" s="35" t="s">
        <v>47</v>
      </c>
      <c r="D236" s="35" t="s">
        <v>47</v>
      </c>
      <c r="E236" s="34" t="s">
        <v>47</v>
      </c>
      <c r="F236" s="35" t="s">
        <v>47</v>
      </c>
      <c r="G236" s="34" t="s">
        <v>47</v>
      </c>
      <c r="H236" s="34" t="s">
        <v>47</v>
      </c>
      <c r="I236" s="35"/>
      <c r="J236" s="35"/>
      <c r="K236" s="37"/>
    </row>
    <row r="237">
      <c r="A237" s="114" t="s">
        <v>15</v>
      </c>
      <c r="B237" s="115" t="s">
        <v>16</v>
      </c>
      <c r="C237" s="116" t="s">
        <v>10</v>
      </c>
      <c r="D237" s="117" t="s">
        <v>6</v>
      </c>
      <c r="E237" s="118" t="s">
        <v>1</v>
      </c>
      <c r="F237" s="119" t="s">
        <v>2</v>
      </c>
      <c r="G237" s="120" t="s">
        <v>8</v>
      </c>
      <c r="H237" s="121" t="s">
        <v>9</v>
      </c>
      <c r="I237" s="122" t="s">
        <v>23</v>
      </c>
      <c r="J237" s="123" t="s">
        <v>11</v>
      </c>
      <c r="K237" s="124" t="s">
        <v>3</v>
      </c>
      <c r="L237" s="125" t="s">
        <v>291</v>
      </c>
      <c r="M237" s="126" t="s">
        <v>4</v>
      </c>
      <c r="N237" s="127">
        <f>SUM(K238:K239)</f>
      </c>
    </row>
    <row r="238">
      <c r="A238" s="35" t="s">
        <v>47</v>
      </c>
      <c r="B238" s="34" t="s">
        <v>47</v>
      </c>
      <c r="C238" s="35" t="s">
        <v>47</v>
      </c>
      <c r="D238" s="35" t="s">
        <v>47</v>
      </c>
      <c r="E238" s="34" t="s">
        <v>47</v>
      </c>
      <c r="F238" s="35" t="s">
        <v>47</v>
      </c>
      <c r="G238" s="34" t="s">
        <v>47</v>
      </c>
      <c r="H238" s="34" t="s">
        <v>47</v>
      </c>
      <c r="I238" s="35"/>
      <c r="J238" s="35"/>
      <c r="K238" s="37"/>
    </row>
    <row r="239">
      <c r="A239" s="35" t="s">
        <v>47</v>
      </c>
      <c r="B239" s="34" t="s">
        <v>47</v>
      </c>
      <c r="C239" s="35" t="s">
        <v>47</v>
      </c>
      <c r="D239" s="35" t="s">
        <v>47</v>
      </c>
      <c r="E239" s="34" t="s">
        <v>47</v>
      </c>
      <c r="F239" s="35" t="s">
        <v>47</v>
      </c>
      <c r="G239" s="34" t="s">
        <v>47</v>
      </c>
      <c r="H239" s="34" t="s">
        <v>47</v>
      </c>
      <c r="I239" s="35"/>
      <c r="J239" s="35"/>
      <c r="K239" s="37"/>
    </row>
    <row r="240">
      <c r="A240" s="128" t="s">
        <v>15</v>
      </c>
      <c r="B240" s="129" t="s">
        <v>16</v>
      </c>
      <c r="C240" s="130" t="s">
        <v>10</v>
      </c>
      <c r="D240" s="131" t="s">
        <v>6</v>
      </c>
      <c r="E240" s="132" t="s">
        <v>1</v>
      </c>
      <c r="F240" s="133" t="s">
        <v>2</v>
      </c>
      <c r="G240" s="134" t="s">
        <v>8</v>
      </c>
      <c r="H240" s="135" t="s">
        <v>9</v>
      </c>
      <c r="I240" s="136" t="s">
        <v>23</v>
      </c>
      <c r="J240" s="137" t="s">
        <v>11</v>
      </c>
      <c r="K240" s="138" t="s">
        <v>3</v>
      </c>
      <c r="L240" s="139" t="s">
        <v>292</v>
      </c>
      <c r="M240" s="140" t="s">
        <v>4</v>
      </c>
      <c r="N240" s="141">
        <f>SUM(K241:K242)</f>
      </c>
    </row>
    <row r="241">
      <c r="A241" s="35" t="s">
        <v>47</v>
      </c>
      <c r="B241" s="34" t="s">
        <v>47</v>
      </c>
      <c r="C241" s="35" t="s">
        <v>47</v>
      </c>
      <c r="D241" s="35" t="s">
        <v>47</v>
      </c>
      <c r="E241" s="34" t="s">
        <v>47</v>
      </c>
      <c r="F241" s="35" t="s">
        <v>47</v>
      </c>
      <c r="G241" s="34" t="s">
        <v>47</v>
      </c>
      <c r="H241" s="34" t="s">
        <v>47</v>
      </c>
      <c r="I241" s="35"/>
      <c r="J241" s="35"/>
      <c r="K241" s="37"/>
    </row>
    <row r="242">
      <c r="A242" s="35" t="s">
        <v>47</v>
      </c>
      <c r="B242" s="34" t="s">
        <v>47</v>
      </c>
      <c r="C242" s="35" t="s">
        <v>47</v>
      </c>
      <c r="D242" s="35" t="s">
        <v>47</v>
      </c>
      <c r="E242" s="34" t="s">
        <v>47</v>
      </c>
      <c r="F242" s="35" t="s">
        <v>47</v>
      </c>
      <c r="G242" s="34" t="s">
        <v>47</v>
      </c>
      <c r="H242" s="34" t="s">
        <v>47</v>
      </c>
      <c r="I242" s="35"/>
      <c r="J242" s="35"/>
      <c r="K242" s="37"/>
    </row>
    <row r="243">
      <c r="A243" s="142" t="s">
        <v>15</v>
      </c>
      <c r="B243" s="143" t="s">
        <v>16</v>
      </c>
      <c r="C243" s="144" t="s">
        <v>10</v>
      </c>
      <c r="D243" s="145" t="s">
        <v>6</v>
      </c>
      <c r="E243" s="146" t="s">
        <v>1</v>
      </c>
      <c r="F243" s="147" t="s">
        <v>2</v>
      </c>
      <c r="G243" s="148" t="s">
        <v>8</v>
      </c>
      <c r="H243" s="149" t="s">
        <v>9</v>
      </c>
      <c r="I243" s="150" t="s">
        <v>23</v>
      </c>
      <c r="J243" s="151" t="s">
        <v>11</v>
      </c>
      <c r="K243" s="152" t="s">
        <v>3</v>
      </c>
      <c r="L243" s="153" t="s">
        <v>293</v>
      </c>
      <c r="M243" s="154" t="s">
        <v>4</v>
      </c>
      <c r="N243" s="155">
        <f>SUM(K244:K245)</f>
      </c>
    </row>
    <row r="244">
      <c r="A244" s="35" t="s">
        <v>47</v>
      </c>
      <c r="B244" s="34" t="s">
        <v>47</v>
      </c>
      <c r="C244" s="35" t="s">
        <v>47</v>
      </c>
      <c r="D244" s="35" t="s">
        <v>47</v>
      </c>
      <c r="E244" s="34" t="s">
        <v>47</v>
      </c>
      <c r="F244" s="35" t="s">
        <v>47</v>
      </c>
      <c r="G244" s="34" t="s">
        <v>47</v>
      </c>
      <c r="H244" s="34" t="s">
        <v>47</v>
      </c>
      <c r="I244" s="35"/>
      <c r="J244" s="35"/>
      <c r="K244" s="37"/>
    </row>
    <row r="245">
      <c r="A245" s="38" t="s">
        <v>47</v>
      </c>
      <c r="B245" s="38" t="s">
        <v>47</v>
      </c>
      <c r="C245" s="38" t="s">
        <v>47</v>
      </c>
      <c r="D245" s="38" t="s">
        <v>47</v>
      </c>
      <c r="E245" s="38" t="s">
        <v>47</v>
      </c>
      <c r="F245" s="38" t="s">
        <v>47</v>
      </c>
      <c r="G245" s="38" t="s">
        <v>47</v>
      </c>
      <c r="H245" s="38" t="s">
        <v>47</v>
      </c>
      <c r="I245" s="38" t="s">
        <v>47</v>
      </c>
      <c r="J245" s="38" t="s">
        <v>47</v>
      </c>
      <c r="K245" s="38" t="s">
        <v>47</v>
      </c>
    </row>
    <row r="248" spans="1:14" ht="42" x14ac:dyDescent="0.15">
      <c r="L248" s="5" t="s">
        <v>5</v>
      </c>
      <c r="M248" s="6" t="s">
        <v>4</v>
      </c>
      <c r="N248" s="7">
        <f>SUM(N1:N246)</f>
      </c>
    </row>
  </sheetData>
  <mergeCells count="43">
    <mergeCell ref="B4:H4"/>
    <mergeCell ref="A3:K3"/>
    <mergeCell ref="A1:K1"/>
    <mergeCell ref="B5:H5"/>
    <mergeCell ref="B6:H6"/>
    <mergeCell ref="B7:H7"/>
    <mergeCell ref="B8:H8"/>
    <mergeCell ref="B9:H9"/>
    <mergeCell ref="B10:H10"/>
    <mergeCell ref="A15:K15"/>
    <mergeCell ref="B16:J16"/>
    <mergeCell ref="I12:J12"/>
    <mergeCell ref="B11:H11"/>
    <mergeCell ref="B17:J17"/>
    <mergeCell ref="B18:J18"/>
    <mergeCell ref="B19:J19"/>
    <mergeCell ref="B20:J20"/>
    <mergeCell ref="B21:J21"/>
    <mergeCell ref="B22:J22"/>
    <mergeCell ref="B23:J23"/>
    <mergeCell ref="B24:J24"/>
    <mergeCell ref="B25:J25"/>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