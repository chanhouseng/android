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esisenaisp-my.sharepoint.com/personal/tiago_ramos_sp_senai_br/Documents/WorldSkills/WorldSkills SHANGAI 2026/Torneio Preparatório Online Japão/Prova B2/"/>
    </mc:Choice>
  </mc:AlternateContent>
  <xr:revisionPtr revIDLastSave="2" documentId="8_{1ACAF4D1-BC10-4431-B718-2E89376B1E88}" xr6:coauthVersionLast="47" xr6:coauthVersionMax="47" xr10:uidLastSave="{05E63EA5-59D3-465B-8D9E-EAE63D3038F6}"/>
  <bookViews>
    <workbookView xWindow="-28920" yWindow="-120" windowWidth="29040" windowHeight="15720" tabRatio="500" xr2:uid="{00000000-000D-0000-FFFF-FFFF00000000}"/>
  </bookViews>
  <sheets>
    <sheet name="CIS Marking Scheme Import" sheetId="1" r:id="rId1"/>
    <sheet name="Calcula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K6" i="1" s="1"/>
  <c r="J5" i="1"/>
  <c r="K5" i="1" s="1"/>
  <c r="K7" i="1" l="1"/>
  <c r="P4" i="1"/>
  <c r="N22" i="1"/>
  <c r="C5" i="2" l="1"/>
  <c r="P44" i="1"/>
  <c r="P43" i="1"/>
  <c r="P42" i="1"/>
  <c r="P41" i="1"/>
  <c r="P40" i="1"/>
  <c r="P39" i="1"/>
  <c r="P38" i="1"/>
  <c r="P37" i="1"/>
  <c r="P36" i="1"/>
  <c r="P35" i="1"/>
  <c r="P33" i="1"/>
  <c r="P32" i="1"/>
  <c r="P30" i="1"/>
  <c r="P29" i="1"/>
  <c r="P27" i="1"/>
  <c r="P26" i="1"/>
  <c r="P24" i="1"/>
  <c r="P23" i="1"/>
  <c r="P21" i="1"/>
  <c r="P20" i="1"/>
  <c r="P18" i="1"/>
  <c r="P17" i="1"/>
  <c r="P15" i="1"/>
  <c r="P14" i="1"/>
  <c r="P12" i="1"/>
  <c r="P11" i="1"/>
  <c r="P3" i="1"/>
  <c r="P2" i="1"/>
</calcChain>
</file>

<file path=xl/sharedStrings.xml><?xml version="1.0" encoding="utf-8"?>
<sst xmlns="http://schemas.openxmlformats.org/spreadsheetml/2006/main" count="136" uniqueCount="94">
  <si>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</si>
  <si>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</si>
  <si>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</si>
  <si>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</si>
  <si>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</si>
  <si>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</si>
  <si>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</si>
  <si>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</si>
  <si>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WSOS Section</t>
  </si>
  <si>
    <t>Calculation Row 
(Export only)</t>
  </si>
  <si>
    <t>Max
Mark</t>
  </si>
  <si>
    <t>Criterion B</t>
  </si>
  <si>
    <t>Total
Mark</t>
  </si>
  <si>
    <t>M</t>
  </si>
  <si>
    <t>Demandas Gerais: Tela extra</t>
  </si>
  <si>
    <t>Demandas Gerais: Orientação, rolagem e paleta de cores</t>
  </si>
  <si>
    <t>J</t>
  </si>
  <si>
    <t>O design visual geral do Figma funciona, cada página tem algumas melhorias de design.</t>
  </si>
  <si>
    <t>Não existe nenhum design visual, semelhante a wireframes. (o aspecto encontra-se abaixo do padrão aceitável pela indústria ou comércio, incluindo o fato de não ter sido finalizado.)</t>
  </si>
  <si>
    <t>Existem poucas otimizações de design visual, mas telas representam o que foi solicitado nos wireframes. 
(o aspecto encontra-se no padrão aceitável pela indústria, comércio ou serviço.)</t>
  </si>
  <si>
    <t>A otimização de elementos visuais, como correspondência de cores, design de botões e layout de conteúdo, melhorou 
efetivamente o efeito do mapa geral do protótipo. (o aspecto encontra-se com pequena melhoria em relação ao padrão
aceitável pela indústria, comércio ou serviço.)</t>
  </si>
  <si>
    <t>Fiquei impressionado com o design requintado dos protótipos de alta fidelidade. (o aspecto encontra-se muito acima do padrão aceitável pela indústria, comércio ou serviço, sendo de excelência.)</t>
  </si>
  <si>
    <t>A experiência de usar o protótipo no Figma</t>
  </si>
  <si>
    <t>Os trabalhos do Figma não podem ser visualizados. (o aspecto encontra-se abaixo do padrão aceitável pela indústria ou 
comércio, incluindo o fato de não ter sido finalizado.)</t>
  </si>
  <si>
    <t>As expectativas de operação das telas no figma são consistentes com o que foi solicitado. (o aspecto encontra-se no 
padrão aceitável pela indústria, comércio ou serviço.)</t>
  </si>
  <si>
    <t>Além do que foi solicitado, foram adicionados novas telas e elementos de tela. (o aspecto encontra-se com pequena melhoria em relação ao padrão aceitável pela indústria, comércio ou serviço.)</t>
  </si>
  <si>
    <t>As telas e elementos de telas adicionados podem melhorar efetivamente a experiência do usuário. 
(o aspecto encontra-se muito acima do padrão aceitável pela indústria, comércio ou serviço, sendo de excelência.)</t>
  </si>
  <si>
    <t>Total de Criterios</t>
  </si>
  <si>
    <t>B</t>
  </si>
  <si>
    <t>1.O logotipo apresenta animação, entrando da esquerda para direita até parar no centro da splash;[0,10]
2.O nome WSConecta surge de cima para baixo e para exatamente abaixo do logo;[0,10]
3.A barra de carregamento e o texto “Initializing platform modules...” surgem após o nome se posicionar;[0,10]
4.A barra de carregamento simula um carregamento de 5 segundos;[0,10]
5.Ao final do carregamento o usuário é redirecionado para a tela de Login;[0,05]
6.O fechamento da splash apresenta transição com todos os elementos saindo do centro para a direita;[0,10]</t>
  </si>
  <si>
    <t>1.Ao abrir a tela, é exibida apenas a mensagem não lida do Competidor 19 (“Hi, how are things?”);[0,05]
2.Simulação de entrada de texto na caixa de mensagem ("They're going well! How has your experience been so far?") e, ao clicar em “Enviar”, o mesmo conteúdo aparece na conversa acima;[0,10]
3.O campo “Digite sua mensagem” é limpo automaticamente após o envio bem-sucedido de uma mensagem;[0,05]
4.Após a resposta do Competidor 08, simula-se por 5 segundos um estado de digitação vindo do Competidor 19;[0,05]
5.Esse estado de digitação contém uma animação;[0,10]
6.Após os 5 segundos, o estado de digitação desaparece e a mensagem de resposta ("Really cool so far; I've met a lot of people.") aparece no chat;[0,10]
7.É possivel simular o envio de uma nova mensagem ("I thought it was amazing, too! Good luck in the competition.") para fechar o ciclo da conversa em tempo real;[0,10]
8.O botão de voltar interrompe a sessão de chat ativo e redireciona o usuário para a tela de listagem de conversas (Chat);[0,05]</t>
  </si>
  <si>
    <t>1.Barras superior e inferior permanecem fixas/estáticas durante a rolagem vertical do conteúdo;[0,08]
2.O elemento raiz/container principal possui rolagem vertical, mantendo a integridade do layout;[0,08]
3.Double tap em um post anima o ícone de curtir (preenchimento progressivo vermelho + efeito zoom in/out)(As modificações visuais ocorrem apenas no post que recebeu o double tap);[0,12]
4.Após curtir o post, o número indicativo de curtidas é incrementado (As modificações visuais ocorrem apenas no post que recebeu o double tap);[0,07]
5. Cada item da navegação inferior está conectado à sua página correspondente;[0,05]</t>
  </si>
  <si>
    <t>1.Imagens distribuídas proporcionalmente em grid de 3 colunas, com rolagem vertical obrigatória;[0,07]
2.A rolagem vertical ocorre exclusivamente na galeria (Minha Galeria), mantendo cabeçalho e dados de perfil fixos;[0,08]
3.Cada item da navegação inferior está conectado à sua página correspondente;[0,05]</t>
  </si>
  <si>
    <t>1.Ao selecionar um marcador(testar os 5), o painel direito é atualizado dinamicamente com as informações do país sede;[0,10]
2.O país sede escolhido (pin) fica visivelmente destacado dos demais;[0,07]
3.A seção “Estatísticas” carrega e exibe corretamente os dados numéricos do país selecionado;[0,08]
4.Cada item da navegação inferior está conectado à sua página correspondente;[0,05]</t>
  </si>
  <si>
    <t>1.O protótipo está configurado exclusivamente em formato paisagem (landscape);[0,10]
2.Nenhuma tela possui barra de rolagem horizontal; rolagem vertical é usada quando necessário;[0,10]
3.Uso exclusivo das cores disponíveis na paleta de cores fornecida, nenhuma cor fora da paleta;[0,10]</t>
  </si>
  <si>
    <t>1.Logotipo da WSConecta no topo da tela à esquerda;[0,03]
2.Título centralizado “Chat”;[0,03]
3.Título “WSConecta” no topo da tela à direita;[0,03]
4.Barra de pesquisa com ícone de lupa e texto “Buscar”;[0,05]
5.Lista com 4 cards de conversas no total;[0,10]
6.Foto do usuário em cada conversa, de acordo com a modalidade;[0,03]
7.Nome do competidor em cada conversa, conforme wireframe;[0,03]
8.Prévia da última mensagem em cada conversa;[0,03]
9.Carimbo de tempo (timestamp) da última mensagem recebida;[0,03]
10.Selo numérico no primeiro card (Competidor 19) indicando 1 mensagem não lida e prévia em negrito[0,08]
11.Navegação inferior fixa com 4 ícones (Home, Chat, Mapa, Perfil);[0,03]
12.Destaque do ícone da tela ativa na navegação inferior;[0,03]</t>
  </si>
  <si>
    <t>1.Clicar no card da primeira conversa encaminha o usuário para a tela Chat Ativo;[0,05]
2.O selo numérico sobre o avatar possui animação de mudança de cor entre azul e vermelho;[0,10]
3.Após acessar a conversa, ao clicar no voltar e retornar para a tela de Chat o selo de mensagem não lida deixa de aparecer e a prévia da mensagem não aparece mais em negrito[0,05];
4.Cada item da navegação inferior está conectado à sua página correspondente;[0,05]
5.Pressionar e segurar o primeiro item exibe um ícone de lixeira dentro do card[0,05]; clique em qualquer lugar que não seja em cima da lixeira oculta o ícone[0,05]; clique no ícone exclui a conversa com efeito visual imediato;[0,05]
6.É possível filtrar as conversas simulando entrada de dados no campo de busca e clicando no ícone de lupa;[0,10]</t>
  </si>
  <si>
    <t xml:space="preserve">1.Tela apresentada em modo cheio, sem exibir a barra de navegação inferior;[0,03]
2.Foto de perfil (avatar circular) do competidor no topo à esquerda;[0,03]
3.Nome do competidor (Competidor 19) no topo da tela;[0,03]
4.Título “WSConecta” no topo da tela à direita;[0,03]
5.Histórico de mensagens contendo o fluxo de mensagens trocadas;[0,03]
6.Mensagens recebidas alinhadas à margem esquerda, com avatar do contato e balão de texto;[0,03]
7.Mensagens enviadas alinhadas à margem direita, com avatar do usuário logado e balão de texto;[0,03]
8.Botão de voltar com ícone de seta (←) no rodapé à esquerda, ao lado da caixa de texto;[0,03]
9.Barra de entrada de texto no rodapé com placeholder “Digite sua mensagem”;[0,03]
10.Botão retangular de envio “Enviar”; novas mensagens seguem o mesmo padrão, layout e fonte;[0,03]         </t>
  </si>
  <si>
    <t>1.Logotipo da WSConecta no topo da tela à esquerda;[0,03]
2.Título centralizado “Home”;[0,03]
3.Título “WSConecta” no topo da tela à direita;[0,03]
4.Lista de posts exibidos de forma centralizada;[0,03]
5.Foto do usuário no post, de acordo com a modalidade;[0,03]
6.Nome do usuário no post (ex: @competidor08);[0,03]
7.Indicador do tempo decorrido da publicação abaixo do nome;[0,03]
8.Imagem do post, de acordo com a modalidade;[0,03]
9.Ícone de curtir;[0,03]
10.Ícone de comentário;[0,03]
11.Ícone de compartilhar;[0,03]
12.Indicativo do número de curtidas em texto;[0,03]
13.A tela apresenta no mínimo 5 posts diferentes;[0,08]
14.Navegação inferior fixa com 4 ícones (Home, Chat, Mapa, Perfil);[0,03]
15.Destaque do ícone da tela ativa na navegação inferior;[0,03]</t>
  </si>
  <si>
    <t>1.Logotipo da WSConecta no topo da tela à esquerda;[0,03]
2.Título centralizado “Perfil”;[0,03]
3.Título “WSConecta” no topo da tela à direita;[0,03]
4.Foto do Competidor 08 (foto de perfil);[0,03]
5.Box com título “Meu Perfil”, nome (“Competidor 08”) e usuário (“@competidor08”);[0,04]
6.Box de biografia com título “Biografia” e o texto correspondente;[0,05]
7.Título “Minha Galeria”;[0,03]
8.Grade de imagens (grid) com 6 cartões em 2 linhas e 3 colunas;[0,10]
9.Navegação inferior fixa com 4 ícones (Home, Chat, Mapa, Perfil);[0,03]
10.Destaque do ícone da tela ativa na navegação inferior;[0,03]</t>
  </si>
  <si>
    <t>1.Animação de entrada Pose to Pose (imagem esquerda para direita, demais elementos encadeados direita para esquerda);[0,10]
2.Todos os inputs com simulação de entrada de dados, respeitando formato padrão do campo, senha e confirmar senha com bolinhas;[0,10]
3.Checkbox com efeito de marcado e desmarcado;[0,05]
4.Botão “Criar Conta” direciona para a tela “Login”;[0,05]
5.Link “Fazer login” direciona para a tela de “Login”;[0,05]</t>
  </si>
  <si>
    <t>1.O arquivo do Figma foi exportado com o nome 08_ModuleB2.fig;[0,10]
2.O arquivo foi salvo dentro da pasta XX_Module_B_PM (XX = código da estação);[0,10]
3.A pasta XX_Module_B_PM foi enviada ao repositório Git remoto dentro do prazo;[0,10]</t>
  </si>
  <si>
    <t>The new screen relates to the theme but adds little to no value, or leaves the application's purpose confusing.</t>
  </si>
  <si>
    <t>The new screen enriches the theme and brings relevant functionality, but includes redundant elements or is slightly misaligned with the main scope.</t>
  </si>
  <si>
    <t>The new screen perfectly enriches the theme, adds clear value to the application, and maintains complete harmony with the project's scope with no unnecessary elements.</t>
  </si>
  <si>
    <t>There is no new screen, or the new screen is irrelevant to the topic or negatively affects the app experience.</t>
  </si>
  <si>
    <t>1.Logotipo da WSConecta no topo da tela à esquerda;[0,03]
2.Título centralizado “WSConecta Maps”;[0,03]
3.Título “WSConecta” no topo da tela à direita;[0,03]
4.Divisão da tela em dois painéis principais dispostos lado a lado;[0,03]
5.Título superior centralizado “Conheça os 5 últimos países sede” no painel esquerdo;[0,03]
6.Imagem do mapa-múndi ocupando a maior área do painel esquerdo;[0,03]
7.5 marcadores visuais distribuídos no mapa-múndi (Rússia, França, EAU, Japão e China);[0,03]
8.Bloco de texto “Sobre a WorldSkills” com descrição institucional da competição;[0,03]
9.Texto de instrução centralizado “Clique em um país para aparecer as informações”, botão “Selecione um país” e botão “Curiosidades sobre o país”;[0,05]
10.Seção “Estatísticas” com os tópicos “Países Participantes”, “Competidores” e “Modalidades”;[0,05]
11.Navegação inferior fixa com 4 ícones (Home, Chat, Mapa, Perfil);[0,03]
12.Destaque do ícone da tela ativa na navegação inferior;[0,03]</t>
  </si>
  <si>
    <t>1.Animação de entrada Pose to Pose (imagem esquerda para direita, demais elementos encadeados direita para esquerda);[0,10]
2.Troca automática do carrossel a cada 2s[0,05], gesto de swipe horizontal[0,05] e clique nos pontos indicadores;[0,05]
3.O ponto indicativo corresponde exatamente à imagem exibida;[0,05]
4.Ao chegar na última imagem, o carrossel retorna para a primeira;[0,05]
5.Todos os inputs possuem simulação de entrada de dados, respeitando formato padrão do campo, senha inicialmente com bolinhas;[0,10]
6.Segurar o ícone de olho exibe a senha; ao soltar, a senha volta a ficar mascarada com bolinhas;[0,10]
7.Mensagem “Seu login foi realizado com sucesso.” do tipo snackbar e redirecionamento para a tela Home;[0,05]
8.Link “Cadastre-se” redireciona para a tela de Cadastro;[0,05]</t>
  </si>
  <si>
    <t>1.Logo do aplicativo;[0,05]
2.Texto “Bem vindo ao WSConecta”;[0,05]
3.Barra de Carregamento;[0,05]
4.Texto “Initializing platform modules...”;[0,05]</t>
  </si>
  <si>
    <t>1.Carrossel com 3 imagens posicionado à esquerda ocupando metade da tela;[0,10]
2.Pontos indicativos visuais de qual imagem está sendo exibida;[0,03]
3.Texto para título “Seja bem-vindo ao WSConecta!”;[0,03]
4.Texto “Faça login para continuar”;[0,03]
5.Texto para rótulo descritivo “E-mail”;[0,03]
6.Input com placeholder “Digite seu e-mail”;[0,03]
7.Texto para rótulo descritivo “Senha”;[0,03]
8.Input com placeholder “Digite sua senha”;[0,03]
9.Ícone de olho dentro do input de senha;[0,03]
10.Texto “Esqueceu sua senha?”;[0,03]
11.Botão com texto “Login”;[0,03]
12.Texto “Não tem conta? Cadastre-se”, com link clicável somente na palavra “Cadastre-se”;[0,05]</t>
  </si>
  <si>
    <t>1.Imagem fornecida no Media Files, posicionada à esquerda ocupando metade da tela;[0,03]
2.Demais elementos centralizados ocupando a metade direita da tela;[0,02]
3.Texto para título “Cadastro”;[0,03]
4.Imagem do avatar (competidor08);[0,03]
5.Texto para rótulo descritivo “Nome”;[0,03]
6.Input com placeholder “Digite seu nome”;[0,03]
7.Texto para rótulo descritivo “Nome de usuário”;[0,03]
8.Input com placeholder “Digite seu usuário”;[0,03]
9.Texto para rótulo descritivo “E-mail”;[0,03]
10.Input com placeholder “Digite seu e-mail”;[0,03]
11.Texto para rótulo descritivo “Senha”;[0,03]
12.Input com placeholder “Digite sua senha”;[0,03]
13.Texto para rótulo descritivo “Confirmar senha”;[0,03]
14.Input com placeholder “Confirme sua senha”;[0,03]
15.Caixa de seleção (Checkbox) “Aceito os termos de uso e política de privacidade”;[0,03]
16.Botão com texto “Criar Conta”;[0,03]
17.Texto “Já tem conta? Fazer login”;[0,03]</t>
  </si>
  <si>
    <t>B1</t>
  </si>
  <si>
    <t>Any</t>
  </si>
  <si>
    <t>Submission &amp; General Demands</t>
  </si>
  <si>
    <t>Entrega, nomenclatura e organização do projeto</t>
  </si>
  <si>
    <t>B2</t>
  </si>
  <si>
    <t>Splash Screen</t>
  </si>
  <si>
    <t>Elements</t>
  </si>
  <si>
    <t>Requisitos de design</t>
  </si>
  <si>
    <t>B3</t>
  </si>
  <si>
    <t>Login</t>
  </si>
  <si>
    <t>B4</t>
  </si>
  <si>
    <t xml:space="preserve">Cadastro </t>
  </si>
  <si>
    <t>B5</t>
  </si>
  <si>
    <t>Home</t>
  </si>
  <si>
    <t>B6</t>
  </si>
  <si>
    <t>Chat</t>
  </si>
  <si>
    <t>B7</t>
  </si>
  <si>
    <t>Active Chat</t>
  </si>
  <si>
    <t>B8</t>
  </si>
  <si>
    <t>Maps</t>
  </si>
  <si>
    <t>B9</t>
  </si>
  <si>
    <t>Profile</t>
  </si>
  <si>
    <t>B10</t>
  </si>
  <si>
    <t>Design e Funcionalidades Gerais</t>
  </si>
  <si>
    <t>WorldSkills Occupational Standards</t>
  </si>
  <si>
    <t>Section</t>
  </si>
  <si>
    <t>WSOS Marks</t>
  </si>
  <si>
    <t>Aspect Marks</t>
  </si>
  <si>
    <t>Variation</t>
  </si>
  <si>
    <t>Total Variation</t>
  </si>
  <si>
    <t>Criteria</t>
  </si>
  <si>
    <t>ID</t>
  </si>
  <si>
    <t>Name</t>
  </si>
  <si>
    <t>Mark</t>
  </si>
  <si>
    <t>A</t>
  </si>
  <si>
    <t>Design</t>
  </si>
  <si>
    <t>C</t>
  </si>
  <si>
    <t>D</t>
  </si>
  <si>
    <t>E</t>
  </si>
  <si>
    <t>F</t>
  </si>
  <si>
    <t>G</t>
  </si>
  <si>
    <t>H</t>
  </si>
  <si>
    <t>JP2026July Online Friendly Competition-Expert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</si>
</sst>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Arial"/>
      <family val="2"/>
      <charset val="1"/>
    </font>
    <font>
      <sz val="10"/>
      <color rgb="FFFFFFFF"/>
      <name val="Arial"/>
      <family val="2"/>
      <charset val="1"/>
    </font>
    <font>
      <sz val="16"/>
      <name val="Arial"/>
      <family val="2"/>
      <charset val="1"/>
    </font>
    <font>
      <sz val="16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theme="1"/>
      <name val="Calibri"/>
      <family val="2"/>
      <charset val="1"/>
    </font>
    <font>
      <sz val="10"/>
      <color theme="1"/>
      <name val="Arial"/>
      <family val="2"/>
      <charset val="1"/>
    </font>
    <font>
      <sz val="10"/>
      <name val="Arial"/>
      <charset val="1"/>
    </font>
    <font>
      <sz val="18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69696"/>
        <bgColor rgb="FF808080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7D7D7"/>
      </left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/>
      <right style="medium">
        <color rgb="FFD7D7D7"/>
      </right>
      <top style="medium">
        <color rgb="FFD7D7D7"/>
      </top>
      <bottom style="medium">
        <color rgb="FFD7D7D7"/>
      </bottom>
      <diagonal/>
    </border>
    <border>
      <left style="medium">
        <color rgb="FFD7D7D7"/>
      </left>
      <right style="medium">
        <color rgb="FFD7D7D7"/>
      </right>
      <top/>
      <bottom style="medium">
        <color rgb="FFD7D7D7"/>
      </bottom>
      <diagonal/>
    </border>
    <border>
      <left/>
      <right style="medium">
        <color rgb="FFD7D7D7"/>
      </right>
      <top/>
      <bottom style="medium">
        <color rgb="FFD7D7D7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6" fillId="0" borderId="0"/>
  </cellStyleXfs>
  <cellXfs count="40">
    <xf numFmtId="0" fontId="0" fillId="0" borderId="0" xfId="0"/>
    <xf numFmtId="0" fontId="0" fillId="2" borderId="0" xfId="0" applyFill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2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2" fontId="4" fillId="0" borderId="2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3" borderId="8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2" fontId="10" fillId="0" borderId="7" xfId="0" applyNumberFormat="1" applyFont="1" applyBorder="1" applyAlignment="1">
      <alignment horizontal="center" vertical="center" wrapText="1"/>
    </xf>
    <xf numFmtId="2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wrapText="1"/>
    </xf>
    <xf numFmtId="0" fontId="10" fillId="0" borderId="7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 xr:uid="{00000000-0005-0000-0000-000006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7D7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"/>
  <sheetViews>
    <sheetView tabSelected="1" topLeftCell="C1" zoomScale="85" zoomScaleNormal="85" workbookViewId="0">
      <selection activeCell="I24" sqref="I24:I65"/>
    </sheetView>
  </sheetViews>
  <sheetFormatPr defaultColWidth="8.88671875" defaultRowHeight="13.2" x14ac:dyDescent="0.25"/>
  <cols>
    <col min="1" max="1" width="7.6640625" customWidth="1"/>
    <col min="2" max="2" width="28.33203125" bestFit="1" customWidth="1"/>
    <col min="3" max="3" width="7.88671875" customWidth="1"/>
    <col min="4" max="4" width="8.44140625" customWidth="1"/>
    <col min="5" max="5" width="74.21875" bestFit="1" customWidth="1"/>
    <col min="6" max="6" width="8" customWidth="1"/>
    <col min="7" max="7" width="96.6640625" style="1" customWidth="1"/>
    <col min="8" max="8" width="15.44140625" customWidth="1"/>
    <col min="9" max="9" width="11.33203125" customWidth="1"/>
    <col min="10" max="10" width="11" customWidth="1"/>
    <col min="11" max="11" width="10.6640625" style="2" customWidth="1"/>
    <col min="12" max="12" width="18.44140625" customWidth="1"/>
    <col min="14" max="14" width="10.6640625" customWidth="1"/>
  </cols>
  <sheetData>
    <row r="1" spans="1:16" ht="66" customHeight="1" thickBot="1" x14ac:dyDescent="0.3">
      <c r="A1" s="37" t="s">
        <v>93</v>
      </c>
      <c r="B1" s="37"/>
      <c r="C1" s="37"/>
      <c r="D1" s="37"/>
      <c r="E1" s="37"/>
      <c r="F1" s="37"/>
      <c r="G1" s="37"/>
      <c r="H1" s="37"/>
      <c r="I1" s="37"/>
      <c r="J1" s="37"/>
      <c r="K1" s="37"/>
      <c r="O1" s="2"/>
      <c r="P1" s="8"/>
    </row>
    <row r="2" spans="1:16" ht="13.8" thickBot="1" x14ac:dyDescent="0.3">
      <c r="A2" s="24"/>
      <c r="B2" s="24"/>
      <c r="C2" s="22"/>
      <c r="D2" s="24"/>
      <c r="E2" s="22"/>
      <c r="F2" s="24"/>
      <c r="G2" s="24"/>
      <c r="H2" s="24"/>
      <c r="I2" s="24"/>
      <c r="J2" s="22"/>
      <c r="K2" s="24"/>
      <c r="P2" s="8" t="str">
        <f t="shared" ref="P2:P44" si="0">IF(K23&lt;&gt;"",IF(OR(K23&lt;0.2,K23&gt;2),"Verificar",""),"")</f>
        <v/>
      </c>
    </row>
    <row r="3" spans="1:16" ht="39" customHeight="1" thickBot="1" x14ac:dyDescent="0.3">
      <c r="A3" s="35" t="s">
        <v>75</v>
      </c>
      <c r="B3" s="35"/>
      <c r="C3" s="35"/>
      <c r="D3" s="35"/>
      <c r="E3" s="35"/>
      <c r="F3" s="35"/>
      <c r="G3" s="35"/>
      <c r="H3" s="35"/>
      <c r="I3" s="35"/>
      <c r="J3" s="35"/>
      <c r="K3" s="35"/>
      <c r="M3" s="2"/>
      <c r="P3" s="8" t="str">
        <f t="shared" si="0"/>
        <v/>
      </c>
    </row>
    <row r="4" spans="1:16" ht="52.5" customHeight="1" thickBot="1" x14ac:dyDescent="0.3">
      <c r="A4" s="25" t="s">
        <v>76</v>
      </c>
      <c r="B4" s="36" t="s">
        <v>77</v>
      </c>
      <c r="C4" s="36"/>
      <c r="D4" s="36"/>
      <c r="E4" s="36"/>
      <c r="F4" s="36"/>
      <c r="G4" s="36"/>
      <c r="H4" s="36"/>
      <c r="I4" s="25" t="s">
        <v>77</v>
      </c>
      <c r="J4" s="25" t="s">
        <v>78</v>
      </c>
      <c r="K4" s="25" t="s">
        <v>79</v>
      </c>
      <c r="M4" s="2"/>
      <c r="P4" s="8" t="str">
        <f>IF(K25&lt;&gt;"",IF(OR(K25&lt;0.2,K25&gt;2),"Verificar",""),"")</f>
        <v/>
      </c>
    </row>
    <row r="5" spans="1:16" ht="13.8" thickBot="1" x14ac:dyDescent="0.3">
      <c r="A5" s="26"/>
      <c r="B5" s="33"/>
      <c r="C5" s="33"/>
      <c r="D5" s="33"/>
      <c r="E5" s="33"/>
      <c r="F5" s="33"/>
      <c r="G5" s="33"/>
      <c r="H5" s="33"/>
      <c r="I5" s="27"/>
      <c r="J5" s="28">
        <f>SUMIF(I23:I337, A5, K23:K337)</f>
        <v>0</v>
      </c>
      <c r="K5" s="28">
        <f>ABS(I5-J5)</f>
        <v>0</v>
      </c>
      <c r="M5" s="2"/>
      <c r="P5" s="8"/>
    </row>
    <row r="6" spans="1:16" ht="13.8" thickBot="1" x14ac:dyDescent="0.3">
      <c r="A6" s="29"/>
      <c r="B6" s="34"/>
      <c r="C6" s="34"/>
      <c r="D6" s="34"/>
      <c r="E6" s="34"/>
      <c r="F6" s="34"/>
      <c r="G6" s="34"/>
      <c r="H6" s="34"/>
      <c r="I6" s="28"/>
      <c r="J6" s="28">
        <f>SUMIF(I23:I337, A6, K23:K337)</f>
        <v>0</v>
      </c>
      <c r="K6" s="28">
        <f>ABS(I6-J6)</f>
        <v>0</v>
      </c>
      <c r="M6" s="2"/>
      <c r="P6" s="8"/>
    </row>
    <row r="7" spans="1:16" ht="13.8" thickBot="1" x14ac:dyDescent="0.3">
      <c r="A7" s="24"/>
      <c r="B7" s="24"/>
      <c r="C7" s="22"/>
      <c r="D7" s="24"/>
      <c r="E7" s="22"/>
      <c r="F7" s="24"/>
      <c r="G7" s="24"/>
      <c r="H7" s="24"/>
      <c r="I7" s="38" t="s">
        <v>80</v>
      </c>
      <c r="J7" s="38"/>
      <c r="K7" s="28">
        <f>SUM(K5:K6)</f>
        <v>0</v>
      </c>
      <c r="M7" s="2"/>
      <c r="P7" s="8"/>
    </row>
    <row r="8" spans="1:16" x14ac:dyDescent="0.25">
      <c r="A8" s="24"/>
      <c r="B8" s="24"/>
      <c r="C8" s="22"/>
      <c r="D8" s="24"/>
      <c r="E8" s="22"/>
      <c r="F8" s="24"/>
      <c r="G8" s="24"/>
      <c r="H8" s="24"/>
      <c r="I8" s="30"/>
      <c r="J8" s="30"/>
      <c r="K8" s="24"/>
      <c r="M8" s="2"/>
      <c r="P8" s="8"/>
    </row>
    <row r="9" spans="1:16" ht="13.8" thickBot="1" x14ac:dyDescent="0.3">
      <c r="A9" s="24"/>
      <c r="B9" s="24"/>
      <c r="C9" s="22"/>
      <c r="D9" s="24"/>
      <c r="E9" s="22"/>
      <c r="F9" s="24"/>
      <c r="G9" s="24"/>
      <c r="H9" s="24"/>
      <c r="I9" s="30"/>
      <c r="J9" s="22"/>
      <c r="K9" s="24"/>
      <c r="M9" s="2"/>
      <c r="P9" s="8"/>
    </row>
    <row r="10" spans="1:16" ht="21" thickBot="1" x14ac:dyDescent="0.3">
      <c r="A10" s="35" t="s">
        <v>81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M10" s="2"/>
      <c r="P10" s="8"/>
    </row>
    <row r="11" spans="1:16" ht="13.8" thickBot="1" x14ac:dyDescent="0.3">
      <c r="A11" s="25" t="s">
        <v>82</v>
      </c>
      <c r="B11" s="36" t="s">
        <v>83</v>
      </c>
      <c r="C11" s="36"/>
      <c r="D11" s="36"/>
      <c r="E11" s="36"/>
      <c r="F11" s="36"/>
      <c r="G11" s="36"/>
      <c r="H11" s="36"/>
      <c r="I11" s="36"/>
      <c r="J11" s="36"/>
      <c r="K11" s="25" t="s">
        <v>84</v>
      </c>
      <c r="M11" s="2"/>
      <c r="P11" s="8" t="str">
        <f t="shared" si="0"/>
        <v/>
      </c>
    </row>
    <row r="12" spans="1:16" x14ac:dyDescent="0.25">
      <c r="A12" s="26" t="s">
        <v>85</v>
      </c>
      <c r="B12" s="33"/>
      <c r="C12" s="33"/>
      <c r="D12" s="33"/>
      <c r="E12" s="33"/>
      <c r="F12" s="33"/>
      <c r="G12" s="33"/>
      <c r="H12" s="33"/>
      <c r="I12" s="33"/>
      <c r="J12" s="33"/>
      <c r="K12" s="27">
        <v>0</v>
      </c>
      <c r="M12" s="2"/>
      <c r="P12" s="8" t="str">
        <f t="shared" si="0"/>
        <v/>
      </c>
    </row>
    <row r="13" spans="1:16" x14ac:dyDescent="0.25">
      <c r="A13" s="26" t="s">
        <v>28</v>
      </c>
      <c r="B13" s="33" t="s">
        <v>86</v>
      </c>
      <c r="C13" s="33"/>
      <c r="D13" s="33"/>
      <c r="E13" s="33"/>
      <c r="F13" s="33"/>
      <c r="G13" s="33"/>
      <c r="H13" s="33"/>
      <c r="I13" s="33"/>
      <c r="J13" s="33"/>
      <c r="K13" s="27">
        <v>10</v>
      </c>
      <c r="M13" s="2"/>
      <c r="P13" s="8"/>
    </row>
    <row r="14" spans="1:16" x14ac:dyDescent="0.25">
      <c r="A14" s="26" t="s">
        <v>87</v>
      </c>
      <c r="B14" s="33"/>
      <c r="C14" s="33"/>
      <c r="D14" s="33"/>
      <c r="E14" s="33"/>
      <c r="F14" s="33"/>
      <c r="G14" s="33"/>
      <c r="H14" s="33"/>
      <c r="I14" s="33"/>
      <c r="J14" s="33"/>
      <c r="K14" s="27">
        <v>0</v>
      </c>
      <c r="M14" s="2"/>
      <c r="P14" s="8" t="str">
        <f t="shared" si="0"/>
        <v/>
      </c>
    </row>
    <row r="15" spans="1:16" x14ac:dyDescent="0.25">
      <c r="A15" s="26" t="s">
        <v>88</v>
      </c>
      <c r="B15" s="33"/>
      <c r="C15" s="33"/>
      <c r="D15" s="33"/>
      <c r="E15" s="33"/>
      <c r="F15" s="33"/>
      <c r="G15" s="33"/>
      <c r="H15" s="33"/>
      <c r="I15" s="33"/>
      <c r="J15" s="33"/>
      <c r="K15" s="27">
        <v>0</v>
      </c>
      <c r="M15" s="2"/>
      <c r="P15" s="8" t="str">
        <f t="shared" si="0"/>
        <v/>
      </c>
    </row>
    <row r="16" spans="1:16" x14ac:dyDescent="0.25">
      <c r="A16" s="26" t="s">
        <v>89</v>
      </c>
      <c r="B16" s="33"/>
      <c r="C16" s="33"/>
      <c r="D16" s="33"/>
      <c r="E16" s="33"/>
      <c r="F16" s="33"/>
      <c r="G16" s="33"/>
      <c r="H16" s="33"/>
      <c r="I16" s="33"/>
      <c r="J16" s="33"/>
      <c r="K16" s="27">
        <v>0</v>
      </c>
      <c r="M16" s="2"/>
      <c r="P16" s="8"/>
    </row>
    <row r="17" spans="1:16" x14ac:dyDescent="0.25">
      <c r="A17" s="26" t="s">
        <v>90</v>
      </c>
      <c r="B17" s="33"/>
      <c r="C17" s="33"/>
      <c r="D17" s="33"/>
      <c r="E17" s="33"/>
      <c r="F17" s="33"/>
      <c r="G17" s="33"/>
      <c r="H17" s="33"/>
      <c r="I17" s="33"/>
      <c r="J17" s="33"/>
      <c r="K17" s="27"/>
      <c r="M17" s="2"/>
      <c r="P17" s="8" t="str">
        <f t="shared" si="0"/>
        <v/>
      </c>
    </row>
    <row r="18" spans="1:16" x14ac:dyDescent="0.25">
      <c r="A18" s="26" t="s">
        <v>91</v>
      </c>
      <c r="B18" s="33"/>
      <c r="C18" s="33"/>
      <c r="D18" s="33"/>
      <c r="E18" s="33"/>
      <c r="F18" s="33"/>
      <c r="G18" s="33"/>
      <c r="H18" s="33"/>
      <c r="I18" s="33"/>
      <c r="J18" s="33"/>
      <c r="K18" s="27"/>
      <c r="M18" s="2"/>
      <c r="P18" s="8" t="str">
        <f t="shared" si="0"/>
        <v/>
      </c>
    </row>
    <row r="19" spans="1:16" ht="13.8" thickBot="1" x14ac:dyDescent="0.3">
      <c r="A19" s="29" t="s">
        <v>92</v>
      </c>
      <c r="B19" s="34"/>
      <c r="C19" s="34"/>
      <c r="D19" s="34"/>
      <c r="E19" s="34"/>
      <c r="F19" s="34"/>
      <c r="G19" s="34"/>
      <c r="H19" s="34"/>
      <c r="I19" s="34"/>
      <c r="J19" s="34"/>
      <c r="K19" s="28"/>
      <c r="M19" s="2"/>
      <c r="P19" s="8"/>
    </row>
    <row r="20" spans="1:16" x14ac:dyDescent="0.25">
      <c r="A20" s="24"/>
      <c r="B20" s="24"/>
      <c r="C20" s="24"/>
      <c r="D20" s="24"/>
      <c r="E20" s="24"/>
      <c r="F20" s="31"/>
      <c r="G20" s="31"/>
      <c r="H20" s="31"/>
      <c r="I20" s="31"/>
      <c r="J20" s="32"/>
      <c r="K20" s="24"/>
      <c r="M20" s="2"/>
      <c r="P20" s="8" t="str">
        <f t="shared" si="0"/>
        <v/>
      </c>
    </row>
    <row r="21" spans="1:16" ht="13.8" thickBot="1" x14ac:dyDescent="0.3">
      <c r="A21" s="24"/>
      <c r="B21" s="24"/>
      <c r="C21" s="32"/>
      <c r="D21" s="24"/>
      <c r="E21" s="24"/>
      <c r="F21" s="24"/>
      <c r="G21" s="24"/>
      <c r="H21" s="32"/>
      <c r="I21" s="32"/>
      <c r="J21" s="32"/>
      <c r="K21" s="24"/>
      <c r="M21" s="2"/>
      <c r="P21" s="8" t="str">
        <f t="shared" si="0"/>
        <v/>
      </c>
    </row>
    <row r="22" spans="1:16" ht="66.599999999999994" thickBot="1" x14ac:dyDescent="0.3">
      <c r="A22" s="3" t="s">
        <v>0</v>
      </c>
      <c r="B22" s="3" t="s">
        <v>1</v>
      </c>
      <c r="C22" s="3" t="s">
        <v>2</v>
      </c>
      <c r="D22" s="3" t="s">
        <v>3</v>
      </c>
      <c r="E22" s="3" t="s">
        <v>4</v>
      </c>
      <c r="F22" s="3" t="s">
        <v>5</v>
      </c>
      <c r="G22" s="3" t="s">
        <v>6</v>
      </c>
      <c r="H22" s="3" t="s">
        <v>7</v>
      </c>
      <c r="I22" s="3" t="s">
        <v>8</v>
      </c>
      <c r="J22" s="3" t="s">
        <v>9</v>
      </c>
      <c r="K22" s="4" t="s">
        <v>10</v>
      </c>
      <c r="L22" s="5" t="s">
        <v>11</v>
      </c>
      <c r="M22" s="6" t="s">
        <v>12</v>
      </c>
      <c r="N22" s="7">
        <f>SUM(K23:K65)</f>
        <v>10</v>
      </c>
      <c r="P22" s="8"/>
    </row>
    <row r="23" spans="1:16" x14ac:dyDescent="0.25">
      <c r="A23" s="9" t="s">
        <v>51</v>
      </c>
      <c r="B23" s="23" t="s">
        <v>53</v>
      </c>
      <c r="C23" s="9" t="s">
        <v>52</v>
      </c>
      <c r="D23" s="10"/>
      <c r="E23" s="10"/>
      <c r="F23" s="10"/>
      <c r="G23" s="10"/>
      <c r="H23" s="10"/>
      <c r="I23" s="10"/>
      <c r="J23" s="10"/>
      <c r="K23" s="11"/>
      <c r="M23" s="2"/>
      <c r="P23" s="8" t="str">
        <f t="shared" si="0"/>
        <v/>
      </c>
    </row>
    <row r="24" spans="1:16" ht="39.6" x14ac:dyDescent="0.25">
      <c r="A24" s="9"/>
      <c r="B24" s="10"/>
      <c r="C24" s="9"/>
      <c r="D24" s="9" t="s">
        <v>13</v>
      </c>
      <c r="E24" s="10" t="s">
        <v>54</v>
      </c>
      <c r="F24" s="9"/>
      <c r="G24" s="12" t="s">
        <v>41</v>
      </c>
      <c r="H24" s="10"/>
      <c r="I24" s="9"/>
      <c r="J24" s="9"/>
      <c r="K24" s="13">
        <v>0.3</v>
      </c>
      <c r="M24" s="2"/>
      <c r="P24" s="8" t="str">
        <f t="shared" si="0"/>
        <v/>
      </c>
    </row>
    <row r="25" spans="1:16" ht="39.6" x14ac:dyDescent="0.25">
      <c r="A25" s="9"/>
      <c r="B25" s="10"/>
      <c r="C25" s="9"/>
      <c r="D25" s="9" t="s">
        <v>13</v>
      </c>
      <c r="E25" s="10" t="s">
        <v>15</v>
      </c>
      <c r="F25" s="9"/>
      <c r="G25" s="12" t="s">
        <v>34</v>
      </c>
      <c r="H25" s="10"/>
      <c r="I25" s="9"/>
      <c r="J25" s="9"/>
      <c r="K25" s="13">
        <v>0.3</v>
      </c>
      <c r="M25" s="2"/>
      <c r="P25" s="8"/>
    </row>
    <row r="26" spans="1:16" x14ac:dyDescent="0.25">
      <c r="A26" s="9"/>
      <c r="B26" s="10"/>
      <c r="C26" s="9"/>
      <c r="D26" s="9" t="s">
        <v>16</v>
      </c>
      <c r="E26" s="10" t="s">
        <v>14</v>
      </c>
      <c r="F26" s="9"/>
      <c r="G26" s="12"/>
      <c r="H26" s="10"/>
      <c r="I26" s="9"/>
      <c r="J26" s="9"/>
      <c r="K26" s="13">
        <v>0.6</v>
      </c>
      <c r="M26" s="2"/>
      <c r="P26" s="8" t="str">
        <f t="shared" si="0"/>
        <v/>
      </c>
    </row>
    <row r="27" spans="1:16" x14ac:dyDescent="0.25">
      <c r="A27" s="9"/>
      <c r="B27" s="10"/>
      <c r="C27" s="9"/>
      <c r="D27" s="9"/>
      <c r="E27" s="10"/>
      <c r="F27" s="9">
        <v>0</v>
      </c>
      <c r="G27" s="12" t="s">
        <v>45</v>
      </c>
      <c r="H27" s="10"/>
      <c r="I27" s="9"/>
      <c r="J27" s="9"/>
      <c r="K27" s="13"/>
      <c r="M27" s="2"/>
      <c r="P27" s="8" t="str">
        <f t="shared" si="0"/>
        <v/>
      </c>
    </row>
    <row r="28" spans="1:16" x14ac:dyDescent="0.25">
      <c r="A28" s="9"/>
      <c r="B28" s="10"/>
      <c r="C28" s="9"/>
      <c r="D28" s="9"/>
      <c r="E28" s="10"/>
      <c r="F28" s="9">
        <v>1</v>
      </c>
      <c r="G28" s="12" t="s">
        <v>42</v>
      </c>
      <c r="H28" s="10"/>
      <c r="I28" s="9"/>
      <c r="J28" s="9"/>
      <c r="K28" s="13"/>
      <c r="M28" s="2"/>
      <c r="P28" s="8"/>
    </row>
    <row r="29" spans="1:16" ht="26.4" x14ac:dyDescent="0.25">
      <c r="A29" s="9"/>
      <c r="B29" s="10"/>
      <c r="C29" s="9"/>
      <c r="D29" s="9"/>
      <c r="E29" s="10"/>
      <c r="F29" s="9">
        <v>2</v>
      </c>
      <c r="G29" s="12" t="s">
        <v>43</v>
      </c>
      <c r="H29" s="10"/>
      <c r="I29" s="9"/>
      <c r="J29" s="9"/>
      <c r="K29" s="13"/>
      <c r="M29" s="2"/>
      <c r="P29" s="8" t="str">
        <f t="shared" si="0"/>
        <v/>
      </c>
    </row>
    <row r="30" spans="1:16" ht="26.4" x14ac:dyDescent="0.25">
      <c r="A30" s="9"/>
      <c r="B30" s="10"/>
      <c r="C30" s="9"/>
      <c r="D30" s="9"/>
      <c r="E30" s="10"/>
      <c r="F30" s="9">
        <v>3</v>
      </c>
      <c r="G30" s="12" t="s">
        <v>44</v>
      </c>
      <c r="H30" s="10"/>
      <c r="I30" s="9"/>
      <c r="J30" s="9"/>
      <c r="K30" s="13"/>
      <c r="M30" s="2"/>
      <c r="P30" s="8" t="str">
        <f t="shared" si="0"/>
        <v/>
      </c>
    </row>
    <row r="31" spans="1:16" x14ac:dyDescent="0.25">
      <c r="A31" s="9" t="s">
        <v>55</v>
      </c>
      <c r="B31" s="10" t="s">
        <v>56</v>
      </c>
      <c r="C31" s="9" t="s">
        <v>52</v>
      </c>
      <c r="D31" s="9"/>
      <c r="E31" s="10"/>
      <c r="F31" s="9"/>
      <c r="G31" s="12"/>
      <c r="H31" s="10"/>
      <c r="I31" s="9"/>
      <c r="J31" s="9"/>
      <c r="K31" s="13"/>
      <c r="M31" s="2"/>
      <c r="P31" s="8"/>
    </row>
    <row r="32" spans="1:16" ht="52.8" x14ac:dyDescent="0.25">
      <c r="A32" s="9"/>
      <c r="B32" s="10"/>
      <c r="C32" s="9"/>
      <c r="D32" s="9" t="s">
        <v>13</v>
      </c>
      <c r="E32" s="10" t="s">
        <v>57</v>
      </c>
      <c r="F32" s="9"/>
      <c r="G32" s="12" t="s">
        <v>48</v>
      </c>
      <c r="H32" s="10"/>
      <c r="I32" s="9"/>
      <c r="J32" s="9"/>
      <c r="K32" s="13">
        <v>0.2</v>
      </c>
      <c r="M32" s="2"/>
      <c r="P32" s="8" t="str">
        <f t="shared" si="0"/>
        <v/>
      </c>
    </row>
    <row r="33" spans="1:16" ht="79.2" x14ac:dyDescent="0.25">
      <c r="A33" s="9"/>
      <c r="B33" s="10"/>
      <c r="C33" s="9"/>
      <c r="D33" s="9" t="s">
        <v>13</v>
      </c>
      <c r="E33" s="10" t="s">
        <v>58</v>
      </c>
      <c r="F33" s="9"/>
      <c r="G33" s="12" t="s">
        <v>29</v>
      </c>
      <c r="H33" s="10"/>
      <c r="I33" s="9"/>
      <c r="J33" s="9"/>
      <c r="K33" s="13">
        <v>0.55000000000000004</v>
      </c>
      <c r="M33" s="2"/>
      <c r="P33" s="8" t="str">
        <f t="shared" si="0"/>
        <v/>
      </c>
    </row>
    <row r="34" spans="1:16" x14ac:dyDescent="0.25">
      <c r="A34" s="9" t="s">
        <v>59</v>
      </c>
      <c r="B34" s="10" t="s">
        <v>60</v>
      </c>
      <c r="C34" s="9" t="s">
        <v>52</v>
      </c>
      <c r="D34" s="9"/>
      <c r="E34" s="10"/>
      <c r="F34" s="9"/>
      <c r="G34" s="12"/>
      <c r="H34" s="10"/>
      <c r="I34" s="9"/>
      <c r="J34" s="9"/>
      <c r="K34" s="13"/>
      <c r="M34" s="2"/>
      <c r="P34" s="8"/>
    </row>
    <row r="35" spans="1:16" ht="158.4" x14ac:dyDescent="0.25">
      <c r="A35" s="9"/>
      <c r="B35" s="10"/>
      <c r="C35" s="9"/>
      <c r="D35" s="9" t="s">
        <v>13</v>
      </c>
      <c r="E35" s="10" t="s">
        <v>57</v>
      </c>
      <c r="F35" s="9"/>
      <c r="G35" s="12" t="s">
        <v>49</v>
      </c>
      <c r="H35" s="10"/>
      <c r="I35" s="9"/>
      <c r="J35" s="9"/>
      <c r="K35" s="13">
        <v>0.45</v>
      </c>
      <c r="M35" s="2"/>
      <c r="P35" s="8" t="str">
        <f t="shared" si="0"/>
        <v/>
      </c>
    </row>
    <row r="36" spans="1:16" ht="145.19999999999999" x14ac:dyDescent="0.25">
      <c r="A36" s="9"/>
      <c r="B36" s="10"/>
      <c r="C36" s="9"/>
      <c r="D36" s="9" t="s">
        <v>13</v>
      </c>
      <c r="E36" s="10" t="s">
        <v>58</v>
      </c>
      <c r="F36" s="9"/>
      <c r="G36" s="12" t="s">
        <v>47</v>
      </c>
      <c r="H36" s="10"/>
      <c r="I36" s="9"/>
      <c r="J36" s="9"/>
      <c r="K36" s="13">
        <v>0.65</v>
      </c>
      <c r="M36" s="2"/>
      <c r="P36" s="8" t="str">
        <f t="shared" si="0"/>
        <v/>
      </c>
    </row>
    <row r="37" spans="1:16" x14ac:dyDescent="0.25">
      <c r="A37" s="9" t="s">
        <v>61</v>
      </c>
      <c r="B37" s="10" t="s">
        <v>62</v>
      </c>
      <c r="C37" s="9" t="s">
        <v>52</v>
      </c>
      <c r="D37" s="9"/>
      <c r="E37" s="10"/>
      <c r="F37" s="9"/>
      <c r="G37" s="12"/>
      <c r="H37" s="10"/>
      <c r="I37" s="9"/>
      <c r="J37" s="9"/>
      <c r="K37" s="13"/>
      <c r="M37" s="2"/>
      <c r="P37" s="8" t="str">
        <f t="shared" si="0"/>
        <v/>
      </c>
    </row>
    <row r="38" spans="1:16" ht="224.4" x14ac:dyDescent="0.25">
      <c r="A38" s="9"/>
      <c r="B38" s="10"/>
      <c r="C38" s="9"/>
      <c r="D38" s="9" t="s">
        <v>13</v>
      </c>
      <c r="E38" s="10" t="s">
        <v>57</v>
      </c>
      <c r="F38" s="9"/>
      <c r="G38" s="12" t="s">
        <v>50</v>
      </c>
      <c r="H38" s="10"/>
      <c r="I38" s="9"/>
      <c r="J38" s="9"/>
      <c r="K38" s="13">
        <v>0.5</v>
      </c>
      <c r="M38" s="2"/>
      <c r="P38" s="8" t="str">
        <f t="shared" si="0"/>
        <v/>
      </c>
    </row>
    <row r="39" spans="1:16" ht="92.4" x14ac:dyDescent="0.25">
      <c r="A39" s="9"/>
      <c r="B39" s="10"/>
      <c r="C39" s="9"/>
      <c r="D39" s="9" t="s">
        <v>13</v>
      </c>
      <c r="E39" s="10" t="s">
        <v>58</v>
      </c>
      <c r="F39" s="9"/>
      <c r="G39" s="12" t="s">
        <v>40</v>
      </c>
      <c r="H39" s="10"/>
      <c r="I39" s="9"/>
      <c r="J39" s="9"/>
      <c r="K39" s="13">
        <v>0.35</v>
      </c>
      <c r="M39" s="2"/>
      <c r="P39" s="8" t="str">
        <f t="shared" si="0"/>
        <v/>
      </c>
    </row>
    <row r="40" spans="1:16" ht="26.25" customHeight="1" x14ac:dyDescent="0.25">
      <c r="A40" s="9" t="s">
        <v>63</v>
      </c>
      <c r="B40" s="10" t="s">
        <v>64</v>
      </c>
      <c r="C40" s="9"/>
      <c r="D40" s="9"/>
      <c r="E40" s="10"/>
      <c r="F40" s="9"/>
      <c r="G40" s="12"/>
      <c r="H40" s="10"/>
      <c r="I40" s="9"/>
      <c r="J40" s="9"/>
      <c r="K40" s="13"/>
      <c r="L40" s="2"/>
      <c r="M40" s="2"/>
      <c r="P40" s="8" t="str">
        <f t="shared" si="0"/>
        <v/>
      </c>
    </row>
    <row r="41" spans="1:16" ht="26.25" customHeight="1" x14ac:dyDescent="0.25">
      <c r="A41" s="9"/>
      <c r="B41" s="10"/>
      <c r="C41" s="9"/>
      <c r="D41" s="9" t="s">
        <v>13</v>
      </c>
      <c r="E41" s="10" t="s">
        <v>57</v>
      </c>
      <c r="F41" s="9"/>
      <c r="G41" s="12" t="s">
        <v>38</v>
      </c>
      <c r="H41" s="10"/>
      <c r="I41" s="9"/>
      <c r="J41" s="9"/>
      <c r="K41" s="13">
        <v>0.5</v>
      </c>
      <c r="M41" s="2"/>
      <c r="P41" s="8" t="str">
        <f t="shared" si="0"/>
        <v/>
      </c>
    </row>
    <row r="42" spans="1:16" ht="66" customHeight="1" x14ac:dyDescent="0.25">
      <c r="A42" s="9"/>
      <c r="B42" s="10"/>
      <c r="C42" s="9"/>
      <c r="D42" s="9" t="s">
        <v>13</v>
      </c>
      <c r="E42" s="10" t="s">
        <v>58</v>
      </c>
      <c r="F42" s="9"/>
      <c r="G42" s="12" t="s">
        <v>31</v>
      </c>
      <c r="H42" s="10"/>
      <c r="I42" s="9"/>
      <c r="J42" s="9"/>
      <c r="K42" s="13">
        <v>0.4</v>
      </c>
      <c r="M42" s="2"/>
      <c r="P42" s="8" t="str">
        <f t="shared" si="0"/>
        <v/>
      </c>
    </row>
    <row r="43" spans="1:16" ht="26.25" customHeight="1" x14ac:dyDescent="0.25">
      <c r="A43" s="9" t="s">
        <v>65</v>
      </c>
      <c r="B43" s="10" t="s">
        <v>66</v>
      </c>
      <c r="C43" s="9" t="s">
        <v>52</v>
      </c>
      <c r="D43" s="9"/>
      <c r="E43" s="10"/>
      <c r="F43" s="9"/>
      <c r="G43" s="12"/>
      <c r="H43" s="10"/>
      <c r="I43" s="9"/>
      <c r="J43" s="9"/>
      <c r="K43" s="13"/>
      <c r="M43" s="2"/>
      <c r="P43" s="8" t="str">
        <f t="shared" si="0"/>
        <v/>
      </c>
    </row>
    <row r="44" spans="1:16" ht="158.4" x14ac:dyDescent="0.25">
      <c r="A44" s="9"/>
      <c r="B44" s="10"/>
      <c r="C44" s="9"/>
      <c r="D44" s="14" t="s">
        <v>13</v>
      </c>
      <c r="E44" s="12" t="s">
        <v>57</v>
      </c>
      <c r="F44" s="12"/>
      <c r="G44" s="12" t="s">
        <v>35</v>
      </c>
      <c r="H44" s="12"/>
      <c r="I44" s="14"/>
      <c r="J44" s="12"/>
      <c r="K44" s="15">
        <v>0.5</v>
      </c>
      <c r="M44" s="2"/>
      <c r="P44" s="8" t="str">
        <f t="shared" si="0"/>
        <v/>
      </c>
    </row>
    <row r="45" spans="1:16" ht="39" customHeight="1" x14ac:dyDescent="0.25">
      <c r="A45" s="9"/>
      <c r="B45" s="10"/>
      <c r="C45" s="9"/>
      <c r="D45" s="14" t="s">
        <v>13</v>
      </c>
      <c r="E45" s="12" t="s">
        <v>58</v>
      </c>
      <c r="F45" s="12"/>
      <c r="G45" s="12" t="s">
        <v>36</v>
      </c>
      <c r="H45" s="12"/>
      <c r="I45" s="14"/>
      <c r="J45" s="12"/>
      <c r="K45" s="15">
        <v>0.5</v>
      </c>
    </row>
    <row r="46" spans="1:16" ht="39" customHeight="1" x14ac:dyDescent="0.25">
      <c r="A46" s="9" t="s">
        <v>67</v>
      </c>
      <c r="B46" s="10" t="s">
        <v>68</v>
      </c>
      <c r="C46" s="9" t="s">
        <v>52</v>
      </c>
      <c r="D46" s="14"/>
      <c r="E46" s="12"/>
      <c r="F46" s="12"/>
      <c r="G46" s="12"/>
      <c r="H46" s="12"/>
      <c r="I46" s="14"/>
      <c r="J46" s="12"/>
      <c r="K46" s="15"/>
    </row>
    <row r="47" spans="1:16" ht="26.25" customHeight="1" x14ac:dyDescent="0.25">
      <c r="A47" s="9"/>
      <c r="B47" s="10"/>
      <c r="C47" s="9"/>
      <c r="D47" s="9" t="s">
        <v>13</v>
      </c>
      <c r="E47" s="10" t="s">
        <v>57</v>
      </c>
      <c r="F47" s="9"/>
      <c r="G47" s="12" t="s">
        <v>37</v>
      </c>
      <c r="H47" s="10"/>
      <c r="I47" s="9"/>
      <c r="J47" s="9"/>
      <c r="K47" s="13">
        <v>0.3</v>
      </c>
    </row>
    <row r="48" spans="1:16" ht="39" customHeight="1" x14ac:dyDescent="0.25">
      <c r="A48" s="9"/>
      <c r="B48" s="10"/>
      <c r="C48" s="9"/>
      <c r="D48" s="9" t="s">
        <v>13</v>
      </c>
      <c r="E48" s="10" t="s">
        <v>58</v>
      </c>
      <c r="F48" s="9"/>
      <c r="G48" s="12" t="s">
        <v>30</v>
      </c>
      <c r="H48" s="10"/>
      <c r="I48" s="9"/>
      <c r="J48" s="9"/>
      <c r="K48" s="13">
        <v>0.6</v>
      </c>
    </row>
    <row r="49" spans="1:11" x14ac:dyDescent="0.25">
      <c r="A49" s="9" t="s">
        <v>69</v>
      </c>
      <c r="B49" s="10" t="s">
        <v>70</v>
      </c>
      <c r="C49" s="9" t="s">
        <v>52</v>
      </c>
      <c r="D49" s="9"/>
      <c r="E49" s="10"/>
      <c r="F49" s="9"/>
      <c r="G49" s="12"/>
      <c r="H49" s="10"/>
      <c r="I49" s="9"/>
      <c r="J49" s="9"/>
      <c r="K49" s="13"/>
    </row>
    <row r="50" spans="1:11" ht="171.6" x14ac:dyDescent="0.25">
      <c r="A50" s="9"/>
      <c r="B50" s="10"/>
      <c r="C50" s="9"/>
      <c r="D50" s="9" t="s">
        <v>13</v>
      </c>
      <c r="E50" s="10" t="s">
        <v>57</v>
      </c>
      <c r="F50" s="9"/>
      <c r="G50" s="12" t="s">
        <v>46</v>
      </c>
      <c r="H50" s="10"/>
      <c r="I50" s="9"/>
      <c r="J50" s="9"/>
      <c r="K50" s="13">
        <v>0.4</v>
      </c>
    </row>
    <row r="51" spans="1:11" ht="66" x14ac:dyDescent="0.25">
      <c r="A51" s="9"/>
      <c r="B51" s="10"/>
      <c r="C51" s="9"/>
      <c r="D51" s="9" t="s">
        <v>13</v>
      </c>
      <c r="E51" s="10" t="s">
        <v>58</v>
      </c>
      <c r="F51" s="9"/>
      <c r="G51" s="12" t="s">
        <v>33</v>
      </c>
      <c r="H51" s="10"/>
      <c r="I51" s="9"/>
      <c r="J51" s="9"/>
      <c r="K51" s="13">
        <v>0.3</v>
      </c>
    </row>
    <row r="52" spans="1:11" x14ac:dyDescent="0.25">
      <c r="A52" s="9" t="s">
        <v>71</v>
      </c>
      <c r="B52" s="10" t="s">
        <v>72</v>
      </c>
      <c r="C52" s="9" t="s">
        <v>52</v>
      </c>
      <c r="D52" s="9"/>
      <c r="E52" s="10"/>
      <c r="F52" s="9"/>
      <c r="G52" s="12"/>
      <c r="H52" s="10"/>
      <c r="I52" s="9"/>
      <c r="J52" s="9"/>
      <c r="K52" s="13"/>
    </row>
    <row r="53" spans="1:11" ht="132" x14ac:dyDescent="0.25">
      <c r="A53" s="9"/>
      <c r="B53" s="10"/>
      <c r="C53" s="9"/>
      <c r="D53" s="9" t="s">
        <v>13</v>
      </c>
      <c r="E53" s="10" t="s">
        <v>57</v>
      </c>
      <c r="F53" s="9"/>
      <c r="G53" s="12" t="s">
        <v>39</v>
      </c>
      <c r="H53" s="10"/>
      <c r="I53" s="9"/>
      <c r="J53" s="9"/>
      <c r="K53" s="13">
        <v>0.4</v>
      </c>
    </row>
    <row r="54" spans="1:11" ht="52.8" x14ac:dyDescent="0.25">
      <c r="A54" s="9"/>
      <c r="B54" s="10"/>
      <c r="C54" s="9"/>
      <c r="D54" s="9" t="s">
        <v>13</v>
      </c>
      <c r="E54" s="10" t="s">
        <v>58</v>
      </c>
      <c r="F54" s="9"/>
      <c r="G54" s="12" t="s">
        <v>32</v>
      </c>
      <c r="H54" s="10"/>
      <c r="I54" s="9"/>
      <c r="J54" s="9"/>
      <c r="K54" s="13">
        <v>0.2</v>
      </c>
    </row>
    <row r="55" spans="1:11" x14ac:dyDescent="0.25">
      <c r="A55" s="9" t="s">
        <v>73</v>
      </c>
      <c r="B55" s="10" t="s">
        <v>74</v>
      </c>
      <c r="C55" s="9" t="s">
        <v>52</v>
      </c>
      <c r="D55" s="9"/>
      <c r="E55" s="10"/>
      <c r="F55" s="9"/>
      <c r="G55" s="12"/>
      <c r="H55" s="10"/>
      <c r="I55" s="9"/>
      <c r="J55" s="9"/>
      <c r="K55" s="13"/>
    </row>
    <row r="56" spans="1:11" x14ac:dyDescent="0.25">
      <c r="A56" s="9"/>
      <c r="B56" s="10"/>
      <c r="C56" s="9"/>
      <c r="D56" s="9" t="s">
        <v>16</v>
      </c>
      <c r="E56" s="10" t="s">
        <v>17</v>
      </c>
      <c r="F56" s="9"/>
      <c r="G56" s="12"/>
      <c r="H56" s="10"/>
      <c r="I56" s="9"/>
      <c r="J56" s="9"/>
      <c r="K56" s="13">
        <v>1</v>
      </c>
    </row>
    <row r="57" spans="1:11" ht="26.4" x14ac:dyDescent="0.25">
      <c r="A57" s="9"/>
      <c r="B57" s="10"/>
      <c r="C57" s="9"/>
      <c r="D57" s="9"/>
      <c r="E57" s="10"/>
      <c r="F57" s="9">
        <v>0</v>
      </c>
      <c r="G57" s="12" t="s">
        <v>18</v>
      </c>
      <c r="H57" s="10"/>
      <c r="I57" s="9"/>
      <c r="J57" s="9"/>
      <c r="K57" s="13"/>
    </row>
    <row r="58" spans="1:11" ht="26.4" x14ac:dyDescent="0.25">
      <c r="A58" s="9"/>
      <c r="B58" s="10"/>
      <c r="C58" s="9"/>
      <c r="D58" s="9"/>
      <c r="E58" s="10"/>
      <c r="F58" s="9">
        <v>1</v>
      </c>
      <c r="G58" s="12" t="s">
        <v>19</v>
      </c>
      <c r="H58" s="10"/>
      <c r="I58" s="9"/>
      <c r="J58" s="9"/>
      <c r="K58" s="13"/>
    </row>
    <row r="59" spans="1:11" ht="66" x14ac:dyDescent="0.25">
      <c r="A59" s="9"/>
      <c r="B59" s="10"/>
      <c r="C59" s="9"/>
      <c r="D59" s="9"/>
      <c r="E59" s="10"/>
      <c r="F59" s="9">
        <v>2</v>
      </c>
      <c r="G59" s="12" t="s">
        <v>20</v>
      </c>
      <c r="H59" s="10"/>
      <c r="I59" s="9"/>
      <c r="J59" s="9"/>
      <c r="K59" s="13"/>
    </row>
    <row r="60" spans="1:11" ht="26.4" x14ac:dyDescent="0.25">
      <c r="A60" s="9"/>
      <c r="B60" s="10"/>
      <c r="C60" s="9"/>
      <c r="D60" s="9"/>
      <c r="E60" s="10"/>
      <c r="F60" s="9">
        <v>3</v>
      </c>
      <c r="G60" s="12" t="s">
        <v>21</v>
      </c>
      <c r="H60" s="10"/>
      <c r="I60" s="9"/>
      <c r="J60" s="9"/>
      <c r="K60" s="13"/>
    </row>
    <row r="61" spans="1:11" x14ac:dyDescent="0.25">
      <c r="A61" s="9"/>
      <c r="B61" s="10"/>
      <c r="C61" s="9"/>
      <c r="D61" s="9" t="s">
        <v>16</v>
      </c>
      <c r="E61" s="10" t="s">
        <v>22</v>
      </c>
      <c r="F61" s="9"/>
      <c r="G61" s="12"/>
      <c r="H61" s="10"/>
      <c r="I61" s="9"/>
      <c r="J61" s="9"/>
      <c r="K61" s="13">
        <v>1</v>
      </c>
    </row>
    <row r="62" spans="1:11" ht="39.6" x14ac:dyDescent="0.25">
      <c r="A62" s="9"/>
      <c r="B62" s="10"/>
      <c r="C62" s="9"/>
      <c r="D62" s="9"/>
      <c r="E62" s="10"/>
      <c r="F62" s="9">
        <v>0</v>
      </c>
      <c r="G62" s="12" t="s">
        <v>23</v>
      </c>
      <c r="H62" s="10"/>
      <c r="I62" s="9"/>
      <c r="J62" s="9"/>
      <c r="K62" s="13"/>
    </row>
    <row r="63" spans="1:11" ht="39.6" x14ac:dyDescent="0.25">
      <c r="A63" s="9"/>
      <c r="B63" s="10"/>
      <c r="C63" s="9"/>
      <c r="D63" s="9"/>
      <c r="E63" s="10"/>
      <c r="F63" s="9">
        <v>1</v>
      </c>
      <c r="G63" s="12" t="s">
        <v>24</v>
      </c>
      <c r="H63" s="10"/>
      <c r="I63" s="9"/>
      <c r="J63" s="9"/>
      <c r="K63" s="13"/>
    </row>
    <row r="64" spans="1:11" ht="26.4" x14ac:dyDescent="0.25">
      <c r="A64" s="9"/>
      <c r="B64" s="10"/>
      <c r="C64" s="9"/>
      <c r="D64" s="9"/>
      <c r="E64" s="10"/>
      <c r="F64" s="9">
        <v>2</v>
      </c>
      <c r="G64" s="12" t="s">
        <v>25</v>
      </c>
      <c r="H64" s="10"/>
      <c r="I64" s="9"/>
      <c r="J64" s="9"/>
      <c r="K64" s="13"/>
    </row>
    <row r="65" spans="1:11" ht="39.6" x14ac:dyDescent="0.25">
      <c r="A65" s="9"/>
      <c r="B65" s="10"/>
      <c r="C65" s="9"/>
      <c r="D65" s="9"/>
      <c r="E65" s="10"/>
      <c r="F65" s="9">
        <v>3</v>
      </c>
      <c r="G65" s="12" t="s">
        <v>26</v>
      </c>
      <c r="H65" s="10"/>
      <c r="I65" s="9"/>
      <c r="J65" s="9"/>
      <c r="K65" s="13"/>
    </row>
  </sheetData>
  <mergeCells count="16">
    <mergeCell ref="I7:J7"/>
    <mergeCell ref="A1:K1"/>
    <mergeCell ref="A3:K3"/>
    <mergeCell ref="B4:H4"/>
    <mergeCell ref="B5:H5"/>
    <mergeCell ref="B6:H6"/>
    <mergeCell ref="B16:J16"/>
    <mergeCell ref="B17:J17"/>
    <mergeCell ref="B18:J18"/>
    <mergeCell ref="B19:J19"/>
    <mergeCell ref="A10:K10"/>
    <mergeCell ref="B11:J11"/>
    <mergeCell ref="B12:J12"/>
    <mergeCell ref="B13:J13"/>
    <mergeCell ref="B14:J14"/>
    <mergeCell ref="B15:J15"/>
  </mergeCells>
  <conditionalFormatting sqref="K26:K27">
    <cfRule type="cellIs" dxfId="1" priority="1" operator="greaterThan">
      <formula>2</formula>
    </cfRule>
  </conditionalFormatting>
  <conditionalFormatting sqref="K61:K62">
    <cfRule type="cellIs" dxfId="0" priority="3" operator="greaterThan">
      <formula>2</formula>
    </cfRule>
  </conditionalFormatting>
  <pageMargins left="0.390277777777778" right="0.390277777777778" top="0.73124999999999996" bottom="0.59027777777777801" header="0.2" footer="0.2"/>
  <pageSetup paperSize="9" orientation="landscape" horizontalDpi="300" verticalDpi="300"/>
  <headerFooter>
    <oddFooter>&amp;L&amp;8 Sheet: &amp;A_x005F_x000a_File: &amp;F&amp;C&amp;8 Version: _x005F_x000a_Date: &amp;R&amp;8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24"/>
  <sheetViews>
    <sheetView topLeftCell="B1" zoomScaleNormal="100" workbookViewId="0">
      <selection activeCell="C28" sqref="C28"/>
    </sheetView>
  </sheetViews>
  <sheetFormatPr defaultColWidth="8.88671875" defaultRowHeight="13.2" x14ac:dyDescent="0.25"/>
  <cols>
    <col min="1" max="1" width="21.33203125" customWidth="1"/>
    <col min="2" max="2" width="28.6640625" customWidth="1"/>
    <col min="3" max="3" width="186.88671875" customWidth="1"/>
    <col min="4" max="4" width="8.33203125" customWidth="1"/>
    <col min="10" max="10" width="21.33203125" customWidth="1"/>
    <col min="14" max="14" width="64.88671875" customWidth="1"/>
  </cols>
  <sheetData>
    <row r="1" spans="2:14" ht="81" customHeight="1" x14ac:dyDescent="0.25">
      <c r="J1" s="16"/>
      <c r="K1" s="17"/>
      <c r="N1" s="39"/>
    </row>
    <row r="2" spans="2:14" ht="14.25" customHeight="1" x14ac:dyDescent="0.25">
      <c r="J2" s="18"/>
      <c r="K2" s="19"/>
      <c r="N2" s="39"/>
    </row>
    <row r="3" spans="2:14" ht="14.25" customHeight="1" x14ac:dyDescent="0.25">
      <c r="J3" s="18"/>
      <c r="K3" s="20"/>
      <c r="N3" s="39"/>
    </row>
    <row r="4" spans="2:14" ht="14.25" customHeight="1" x14ac:dyDescent="0.25">
      <c r="J4" s="18"/>
      <c r="K4" s="20"/>
      <c r="N4" s="39"/>
    </row>
    <row r="5" spans="2:14" ht="14.25" customHeight="1" x14ac:dyDescent="0.25">
      <c r="B5" t="s">
        <v>27</v>
      </c>
      <c r="C5">
        <f>COUNT('CIS Marking Scheme Import'!K22:K115)</f>
        <v>21</v>
      </c>
      <c r="J5" s="18"/>
      <c r="K5" s="20"/>
      <c r="N5" s="39"/>
    </row>
    <row r="6" spans="2:14" ht="14.25" customHeight="1" x14ac:dyDescent="0.25">
      <c r="J6" s="18"/>
      <c r="K6" s="20"/>
      <c r="N6" s="39"/>
    </row>
    <row r="7" spans="2:14" ht="14.25" customHeight="1" x14ac:dyDescent="0.25">
      <c r="J7" s="18"/>
      <c r="K7" s="20"/>
      <c r="N7" s="39"/>
    </row>
    <row r="8" spans="2:14" ht="14.25" customHeight="1" x14ac:dyDescent="0.25">
      <c r="J8" s="18"/>
      <c r="K8" s="20"/>
      <c r="N8" s="39"/>
    </row>
    <row r="9" spans="2:14" ht="14.25" customHeight="1" x14ac:dyDescent="0.25">
      <c r="J9" s="18"/>
      <c r="K9" s="21"/>
      <c r="N9" s="39"/>
    </row>
    <row r="10" spans="2:14" ht="14.25" customHeight="1" x14ac:dyDescent="0.25">
      <c r="J10" s="18"/>
      <c r="K10" s="20"/>
      <c r="N10" s="39"/>
    </row>
    <row r="11" spans="2:14" ht="14.25" customHeight="1" x14ac:dyDescent="0.25">
      <c r="J11" s="18"/>
      <c r="K11" s="20"/>
      <c r="N11" s="39"/>
    </row>
    <row r="12" spans="2:14" ht="14.25" customHeight="1" x14ac:dyDescent="0.25">
      <c r="K12" s="20"/>
      <c r="N12" s="39"/>
    </row>
    <row r="13" spans="2:14" x14ac:dyDescent="0.25">
      <c r="N13" s="39"/>
    </row>
    <row r="14" spans="2:14" x14ac:dyDescent="0.25">
      <c r="N14" s="39"/>
    </row>
    <row r="15" spans="2:14" x14ac:dyDescent="0.25">
      <c r="N15" s="39"/>
    </row>
    <row r="16" spans="2:14" x14ac:dyDescent="0.25">
      <c r="N16" s="39"/>
    </row>
    <row r="17" spans="14:14" x14ac:dyDescent="0.25">
      <c r="N17" s="39"/>
    </row>
    <row r="18" spans="14:14" x14ac:dyDescent="0.25">
      <c r="N18" s="39"/>
    </row>
    <row r="19" spans="14:14" x14ac:dyDescent="0.25">
      <c r="N19" s="39"/>
    </row>
    <row r="20" spans="14:14" x14ac:dyDescent="0.25">
      <c r="N20" s="39"/>
    </row>
    <row r="21" spans="14:14" x14ac:dyDescent="0.25">
      <c r="N21" s="39"/>
    </row>
    <row r="22" spans="14:14" x14ac:dyDescent="0.25">
      <c r="N22" s="39"/>
    </row>
    <row r="23" spans="14:14" x14ac:dyDescent="0.25">
      <c r="N23" s="39"/>
    </row>
    <row r="24" spans="14:14" x14ac:dyDescent="0.25">
      <c r="N24" s="39"/>
    </row>
  </sheetData>
  <mergeCells count="1">
    <mergeCell ref="N1:N24"/>
  </mergeCells>
  <pageMargins left="0.390277777777778" right="0.390277777777778" top="0.73124999999999996" bottom="0.59027777777777801" header="0.2" footer="0.2"/>
  <pageSetup paperSize="9" orientation="landscape" horizontalDpi="300" verticalDpi="300"/>
  <headerFooter>
    <oddFooter>&amp;L&amp;8 Sheet: &amp;A_x005F_x000a_File: &amp;F&amp;C&amp;8 Version: _x005F_x000a_Date: &amp;R&amp;8 &amp;P of &amp;N</oddFooter>
  </headerFooter>
</worksheet>
</file>

<file path=docMetadata/LabelInfo.xml><?xml version="1.0" encoding="utf-8"?>
<clbl:labelList xmlns:clbl="http://schemas.microsoft.com/office/2020/mipLabelMetadata">
  <clbl:label id="{4148a6de-0dd1-4d04-a4c5-78e374e4f6d6}" enabled="0" method="" siteId="{4148a6de-0dd1-4d04-a4c5-78e374e4f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Walsh</dc:creator>
  <dc:description/>
  <cp:lastModifiedBy>Tiago Pereira Ramos</cp:lastModifiedBy>
  <cp:revision>0</cp:revision>
  <dcterms:created xsi:type="dcterms:W3CDTF">2010-04-27T04:25:00Z</dcterms:created>
  <dcterms:modified xsi:type="dcterms:W3CDTF">2026-07-03T19:13:45Z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0x010100CC94E0163ABA5C46BDFEF9575BA81040</vt:lpwstr>
  </property>
</Properties>
</file>