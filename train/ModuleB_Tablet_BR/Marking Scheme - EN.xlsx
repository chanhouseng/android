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tiago_ramos_sp_senai_br/Documents/WorldSkills/WorldSkills SHANGAI 2026/Torneio Preparatório Online Japão/Prova B2/"/>
    </mc:Choice>
  </mc:AlternateContent>
  <xr:revisionPtr revIDLastSave="0" documentId="8_{31D2FDDC-C1D6-E647-87D3-5CF968FD2420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IS Marking Scheme Import" sheetId="1" r:id="rId1"/>
    <sheet name="Calculation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2" i="1" l="1"/>
  <c r="C5" i="2"/>
  <c r="P44" i="1"/>
  <c r="P43" i="1"/>
  <c r="P42" i="1"/>
  <c r="P41" i="1"/>
  <c r="P40" i="1"/>
  <c r="P39" i="1"/>
  <c r="P38" i="1"/>
  <c r="P37" i="1"/>
  <c r="P36" i="1"/>
  <c r="P35" i="1"/>
  <c r="P33" i="1"/>
  <c r="P32" i="1"/>
  <c r="P30" i="1"/>
  <c r="P29" i="1"/>
  <c r="P27" i="1"/>
  <c r="P26" i="1"/>
  <c r="P24" i="1"/>
  <c r="P23" i="1"/>
  <c r="P21" i="1"/>
  <c r="P20" i="1"/>
  <c r="P18" i="1"/>
  <c r="P17" i="1"/>
  <c r="P15" i="1"/>
  <c r="P14" i="1"/>
  <c r="P12" i="1"/>
  <c r="P11" i="1"/>
  <c r="J6" i="1"/>
  <c r="K6" i="1"/>
  <c r="J5" i="1"/>
  <c r="K5" i="1"/>
  <c r="K7" i="1"/>
  <c r="P4" i="1"/>
  <c r="P3" i="1"/>
  <c r="P2" i="1"/>
</calcChain>
</file>

<file path=xl/sharedStrings.xml><?xml version="1.0" encoding="utf-8"?>
<sst xmlns="http://schemas.openxmlformats.org/spreadsheetml/2006/main" count="136" uniqueCount="103">
  <si>
    <t>JP2026July Online Friendly Competition-Expert</t>
  </si>
  <si>
    <t>Criterion B</t>
  </si>
  <si>
    <t>Total
Mark</t>
  </si>
  <si>
    <t>WorldSkills Occupational Standards</t>
  </si>
  <si>
    <t>Section</t>
  </si>
  <si>
    <t>WSOS Marks</t>
  </si>
  <si>
    <t>Aspect Marks</t>
  </si>
  <si>
    <t>Variation</t>
  </si>
  <si>
    <t>Total Variation</t>
  </si>
  <si>
    <t>Criteria</t>
  </si>
  <si>
    <t>ID</t>
  </si>
  <si>
    <t>Name</t>
  </si>
  <si>
    <t>Mark</t>
  </si>
  <si>
    <t>A</t>
  </si>
  <si>
    <t>B</t>
  </si>
  <si>
    <t>Design</t>
  </si>
  <si>
    <t>C</t>
  </si>
  <si>
    <t>D</t>
  </si>
  <si>
    <t>E</t>
  </si>
  <si>
    <t>F</t>
  </si>
  <si>
    <t>G</t>
  </si>
  <si>
    <t>H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</si>
  <si>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</si>
  <si>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</si>
  <si>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</si>
  <si>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</si>
  <si>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</si>
  <si>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</si>
  <si>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</si>
  <si>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</si>
  <si>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</si>
  <si>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</si>
  <si>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</si>
  <si>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B1</t>
  </si>
  <si>
    <t>Submission &amp; General Demands</t>
  </si>
  <si>
    <t>Any</t>
  </si>
  <si>
    <t>M</t>
  </si>
  <si>
    <t>Delivery, naming, and organization of the project</t>
  </si>
  <si>
    <t>1.The Figma file was exported with the name 08_ModuleB2.fig;[0,10]
2.The file was saved inside the folder XX_Module_B_PM (XX = workstation code);[0,10]
3.The XX_Module_B_PM folder was uploaded to the remote Git repository within the deadline;[0,10]</t>
  </si>
  <si>
    <t>General Requirements: Orientation, scrolling, and color palette</t>
  </si>
  <si>
    <t>1.The prototype is configured exclusively in landscape format;[0,10]
2.No screen has a horizontal scroll bar; vertical scrolling is used when necessary;[0,10]
3.Exclusive use of the colors available in the provided color palette, no color outside the palette;[0,10]</t>
  </si>
  <si>
    <t>J</t>
  </si>
  <si>
    <t>General Requirements: Extra screen</t>
  </si>
  <si>
    <t>There is no new screen, or the new screen is irrelevant to the topic or negatively affects the app experience.</t>
  </si>
  <si>
    <t>The new screen relates to the theme but adds little to no value, or leaves the application's purpose confusing.</t>
  </si>
  <si>
    <t>The new screen enriches the theme and brings relevant functionality, but includes redundant elements or is slightly misaligned with the main scope.</t>
  </si>
  <si>
    <t>The new screen perfectly enriches the theme, adds clear value to the application, and maintains complete harmony with the project's scope with no unnecessary elements.</t>
  </si>
  <si>
    <t>B2</t>
  </si>
  <si>
    <t>Splash Screen</t>
  </si>
  <si>
    <t>Elements</t>
  </si>
  <si>
    <t>1.App logo;[0,05]
2.Text: “Welcome to WSConecta”;[0,05]
3.Loading bar;[0,05]
4.Text: “Initializing platform modules...”;[0,05]</t>
  </si>
  <si>
    <t>Design requirements</t>
  </si>
  <si>
    <t>B3</t>
  </si>
  <si>
    <t>Login</t>
  </si>
  <si>
    <t>1.Pose-to-Pose entrance animation (image moves left to right, other elements chained right to left);[0,10]
2.Automatic carousel change every 2s[0,05], horizontal swipe gesture[0,05] and clicking the indicator dots;[0,05]
3.The indicator dot corresponds exactly to the image being displayed;[0,05]
4.Upon reaching the last image, the carousel returns to the first one;[0,05]
5.All inputs show a simulation of data entry, respecting the field’s standard format, with the password initially masked by dots;[0,10]
6.Holding the eye icon reveals the password; releasing it masks the password with dots again;[0,10]
7.“Your login was successful.” snackbar message and redirection to the Home screen;[0,05]
8.“Sign up” link redirects to the Sign Up screen;[0,05]</t>
  </si>
  <si>
    <t>B4</t>
  </si>
  <si>
    <t>Sign Up</t>
  </si>
  <si>
    <t>1.Image provided in Media Files, positioned on the left, occupying half the screen;[0,03]
2.Remaining elements centered, occupying the right half of the screen;[0,02]
3.Text for the “Sign Up” title;[0,03]
4.Avatar image (competitor08);[0,03]
5.Text for descriptive label “Name”;[0,03]
6.Input with placeholder “Enter your name”;[0,03]
7.Text for descriptive label “Username”;[0,03]
8.Input with placeholder “Enter your username”;[0,03]
9.Text for descriptive label “Email”;[0,03]
10.Input with placeholder “Enter your email”;[0,03]
11.Text for descriptive label “Password”;[0,03]
12.Input with placeholder “Enter your password”;[0,03]
13.Text for descriptive label “Confirm password”;[0,03]
14.Input with placeholder “Confirm your password”;[0,03]
15.Checkbox “I accept the terms of use and privacy policy”;[0,03]
16.Button with the text “Create Account”;[0,03]
17.Text “Already have an account? Log in”;[0,03]</t>
  </si>
  <si>
    <t>1.Pose-to-Pose entrance animation (image moves left to right, other elements chained right to left);[0,10]
2.All inputs show a simulation of data entry, respecting the field’s standard format, with password and confirm password masked by dots;[0,10]
3.Checkbox with checked and unchecked states;[0,05]
4.“Create Account” button redirects to the “Login” screen;[0,05]
5.“Log in” link redirects to the “Login” screen;[0,05]</t>
  </si>
  <si>
    <t>B5</t>
  </si>
  <si>
    <t>Home</t>
  </si>
  <si>
    <t>1.WSConecta logo at the top left of the screen;[0,03]
2.Centered title “Home”;[0,03]
3.“WSConecta” title at the top right of the screen;[0,03]
4.List of posts displayed centered;[0,03]
5.User photo on the post, according to their Skill;[0,03]
6.Username on the post (e.g., @competitor08);[0,03]
7.Indicator of elapsed time since posting, below the name;[0,03]
8.Post image, according to the Skill;[0,03]
9.Like icon;[0,03]
10.Comment icon;[0,03]
11.Share icon;[0,03]
12.Text indicating the number of likes;[0,03]
13.The screen displays at least 5 different posts;[0,08]
14.Fixed bottom navigation with 4 icons (Home, Chat, Map, Profile);[0,03]
15.Highlight of the active screen’s icon in the bottom navigation;[0,03]</t>
  </si>
  <si>
    <t>1.Top and bottom bars remain fixed/static during vertical scrolling of the content;[0,08]
2.The root/main container element has vertical scrolling, maintaining layout integrity;[0,08]
3.Double-tapping a post animates the like icon (progressive red fill + zoom in/out effect) (visual changes occur only on the post that received the double tap);[0,12]
4.After liking the post, the number indicating likes is incremented (visual changes occur only on the post that received the double tap);[0,07]
5. Each item in the bottom navigation is linked to its corresponding page;[0,05]</t>
  </si>
  <si>
    <t>B6</t>
  </si>
  <si>
    <t>Chat</t>
  </si>
  <si>
    <t>1.WSConecta logo at the top left of the screen;[0,03]
2.Centered title “Chat”;[0,03]
3.“WSConecta” title at the top right of the screen;[0,03]
4.Search bar with a magnifying glass icon and the text “Search”;[0,05]
5.List with 4 conversation cards in total;[0,10]
6.User photo in each conversation, according to their Skill;[0,03]
7.Competitor name in each conversation, as per wireframe;[0,03]
8.Preview of the last message in each conversation;[0,03]
9.Timestamp of the last received message;[0,03]
10.Numerical badge on the first card (Competitor 19) indicating 1 unread message, with the preview in bold[0,08]
11.Fixed bottom navigation with 4 icons (Home, Chat, Map, Profile);[0,03]
12.Highlight of the active screen’s icon in the bottom navigation;[0,03]</t>
  </si>
  <si>
    <t>1.Clicking the first conversation card takes the user to the Active Chat screen;[0,05]
2.The numerical badge over the avatar has an animation that cycles between blue and red;[0,10]
3.After accessing the conversation, clicking back and returning to the Chat screen, the unread message badge no longer appears and the message preview is no longer bold[0,05];
4.Each item in the bottom navigation is linked to its corresponding page;[0,05]
5.Pressing and holding the first item shows a trash icon inside the card[0,05]; clicking anywhere other than the trash icon hides it[0,05]; clicking the icon deletes the conversation with immediate visual effect;[0,05]
6.It is possible to filter conversations by simulating data entry in the search field and clicking the magnifying glass icon;[0,10]</t>
  </si>
  <si>
    <t>B7</t>
  </si>
  <si>
    <t>Active Chat</t>
  </si>
  <si>
    <t>1.Screen displayed in full-screen mode, without showing the bottom navigation bar;[0,03]
2.Profile photo (circular avatar) of the competitor at the top left;[0,03]
3.Competitor’s name (Competitor 19) at the top of the screen;[0,03]
4.“WSConecta” title at the top right of the screen;[0,03]
5.Message history containing the flow of exchanged messages;[0,03]
6.Received messages aligned to the left margin, with the contact’s avatar and speech bubble;[0,03]
7.Sent messages aligned to the right margin, with the logged-in user’s avatar and speech bubble;[0,03]
8.Back button with an arrow icon (←) at the bottom left, next to the text box;[0,03]
9.Text input bar at the bottom with placeholder “Type your message”;[0,03]
10.Rectangular “Send” button; new messages follow the same standard, layout, and font;[0,03]</t>
  </si>
  <si>
    <t>1.Upon opening the screen, only the unread message from Competitor 19 (“Hi, how are things?”) is displayed;[0,05]
2.Simulated text entry in the message box ("They’re going well! How has your experience been so far?") and, upon clicking “Send”, the same content appears in the conversation above;[0,10]
3.The “Type your message” field is automatically cleared after a message is successfully sent;[0,05]
4.After Competitor 08’s response, a 5-second typing state from Competitor 19 is simulated;[0,05]
5.This typing state includes an animation;[0,10]
6.After the 5 seconds, the typing state disappears and the reply message ("Really cool so far; I’ve met a lot of people.") appears in the chat;[0,10]
7.It is possible to simulate sending a new message ("I thought it was amazing, too! Good luck in the competition.") to close the real-time conversation cycle;[0,10]
8.The back button ends the active chat session and redirects the user to the conversation list screen (Chat);[0,05]</t>
  </si>
  <si>
    <t>B8</t>
  </si>
  <si>
    <t>Maps</t>
  </si>
  <si>
    <t>1.WSConecta logo at the top left of the screen;[0,03]
2.Centered title “WSConecta Maps”;[0,03]
3.“WSConecta” title at the top right of the screen;[0,03]
4.Screen split into two main panels arranged side-by-side;[0,03]
5.Centered top heading “Discover the last 5 host countries” in the left panel;[0,03]
6.World map image occupying the largest area of the left panel;[0,03]
7.5 visual markers distributed across the world map (Russia, France, UAE, Japan, and China);[0,03]
8.“About WorldSkills” text block with the competition’s institutional description;[0,03]
9.Centered instructional text “Click on a country to display information”, “Select a country” button, and “Fun facts about the country” button;[0,05]
10.“Statistics” section with the topics “Participating Countries”, “Competitors”, and “Skills”;[0,05]
11.Fixed bottom navigation with 4 icons (Home, Chat, Map, Profile);[0,03]
12.Highlight of the active screen’s icon in the bottom navigation;[0,03]</t>
  </si>
  <si>
    <t>1.Upon selecting a marker (test all 5), the right panel is dynamically updated with the host country’s information;[0,10]
2.The selected host country (pin) is visibly highlighted from the others;[0,07]
3.The “Statistics” section correctly loads and displays the numerical data for the selected country;[0,08]
4.Each item in the bottom navigation is linked to its corresponding page;[0,05]</t>
  </si>
  <si>
    <t>B9</t>
  </si>
  <si>
    <t>Profile</t>
  </si>
  <si>
    <t>1.Images proportionally distributed in a 3-column grid, with mandatory vertical scrolling;[0,07]
2.Vertical scrolling occurs exclusively within the gallery (My Gallery), keeping the header and profile data fixed;[0,08]
3.Each item in the bottom navigation is linked to its corresponding page;[0,05]</t>
  </si>
  <si>
    <t>B10</t>
  </si>
  <si>
    <t>General Design and Functionality</t>
  </si>
  <si>
    <t>The overall visual design in Figma works; each page has some design improvements.</t>
  </si>
  <si>
    <t>There is no visual design at all, similar to wireframes. (This aspect is below the standard acceptable by industry or trade, including the fact that it was not finished.)</t>
  </si>
  <si>
    <t>There are few visual design optimizations, but the screens represent what was requested in the wireframes. 
(This aspect is at the standard acceptable by industry, trade, or service.)</t>
  </si>
  <si>
    <t>The optimization of visual elements, such as color matching, button design, and content layout, effectively improved 
the overall look of the prototype. (This aspect shows a slight improvement over the standard 
acceptable by industry, trade, or service.)</t>
  </si>
  <si>
    <t>I was impressed by the refined design of the high-fidelity prototypes. (This aspect is well above the standard acceptable by industry, trade, or service, being of excellence.)</t>
  </si>
  <si>
    <t>The experience of using the prototype in Figma</t>
  </si>
  <si>
    <t>The Figma files cannot be viewed. (This aspect is below the standard acceptable by industry or 
trade, including the fact that it was not finished.)</t>
  </si>
  <si>
    <t>The expected screen behavior in Figma is consistent with what was requested. (This aspect is at the 
standard acceptable by industry, trade, or service.)</t>
  </si>
  <si>
    <t>Beyond what was requested, new screens and screen elements were added. (This aspect shows a slight improvement over the standard acceptable by industry, trade, or service.)</t>
  </si>
  <si>
    <t>The added screens and screen elements effectively enhance the user experience. 
(This aspect is well above the standard acceptable by industry, trade, or service, being of excellence.)</t>
  </si>
  <si>
    <t>Total Criteria</t>
  </si>
  <si>
    <t>1.The logo features an animation, entering from left to right until it stops in the center of the splash screen;[0,10]
2.The name WSConecta appears from top to bottom and stops exactly below the logo;[0,10]
3.The loading bar and the text “Initializing platform modules...” appear after the name settles into position;[0,10]
4.The loading bar simulates a 5-second load;[0,10]
5.At the end of the loading, the user is redirected to the Login screen;[0,05]
6.The splash screen’s closing features a transition with all elements moving from the center to the right;[0,10]</t>
  </si>
  <si>
    <t>1.Carousel with 3 images positioned on the left, occupying half the screen;[0,10]
2.Visual indicator dots showing which image is being displayed;[0,03]
3.Title text: “Welcome to WSConecta!”;[0,03]
4.Text: “Log in to continue”;[0,03]
5.Text for "Email" descriptive label;[0,03]
6.Input with placeholder “Enter your email”;[0,03]
7.Text for “Password” descriptive label;[0,03]
8.Input with placeholder “Enter your password”;[0,03]
9.Eye icon inside the password input;[0,03]
10.Text “Forgot your password?”;[0,03]
11.Button with the text “Login”;[0,03]
12.Text “Don’t have an account? Sign up”, with only the word “Sign up” as clickable link;[0,05]</t>
  </si>
  <si>
    <t>1.WSConecta logo at the top left of the screen;[0,03]
2.Centered title “Profile”;[0,03]
3.“WSConecta” title at the top right of the screen;[0,03]
4.Photo of Competitor 08 (profile photo);[0,03]
5.Box with the title “My Profile”, name (“Competitor 08”), and username (“@competitor08”);[0,04]
6.Biography box with the title “Biography” and the corresponding text;[0,05]
7.“My Gallery” title;[0,03]
8.Image grid with 6 cards in 2 rows and 3 columns;[0,10]
9.Fixed bottom navigation with 4 icons (Home, Chat, Map, Profile);[0,03]
10.Highlight of the active screen’s icon in the bottom navigation;[0,03]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</si>
</sst>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  <charset val="1"/>
    </font>
    <font>
      <sz val="18"/>
      <color rgb="FFFFFFFF"/>
      <name val="Arial"/>
      <family val="2"/>
      <charset val="1"/>
    </font>
    <font>
      <sz val="16"/>
      <name val="Arial"/>
      <family val="2"/>
      <charset val="1"/>
    </font>
    <font>
      <sz val="16"/>
      <color rgb="FF000000"/>
      <name val="Arial"/>
      <family val="2"/>
      <charset val="1"/>
    </font>
    <font>
      <sz val="10"/>
      <name val="Arial"/>
      <family val="2"/>
      <charset val="1"/>
    </font>
    <font>
      <sz val="16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charset val="1"/>
    </font>
    <font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69696"/>
        <bgColor rgb="FF808080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/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medium">
        <color rgb="FFD7D7D7"/>
      </left>
      <right style="medium">
        <color rgb="FFD7D7D7"/>
      </right>
      <top/>
      <bottom style="medium">
        <color rgb="FFD7D7D7"/>
      </bottom>
      <diagonal/>
    </border>
    <border>
      <left/>
      <right style="medium">
        <color rgb="FFD7D7D7"/>
      </right>
      <top/>
      <bottom style="medium">
        <color rgb="FFD7D7D7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0" fillId="2" borderId="0" xfId="0" applyFill="1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2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2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zoomScale="85" zoomScaleNormal="85" workbookViewId="0">
      <selection activeCell="G57" sqref="G57"/>
    </sheetView>
  </sheetViews>
  <sheetFormatPr defaultColWidth="8.8984375" defaultRowHeight="12.75" x14ac:dyDescent="0.15"/>
  <cols>
    <col min="1" max="1" width="7.68359375" customWidth="1"/>
    <col min="2" max="2" width="28.31640625" customWidth="1"/>
    <col min="3" max="3" width="7.8203125" customWidth="1"/>
    <col min="4" max="4" width="8.4921875" customWidth="1"/>
    <col min="5" max="5" width="74.16796875" customWidth="1"/>
    <col min="6" max="6" width="7.953125" customWidth="1"/>
    <col min="7" max="7" width="96.6875" style="1" customWidth="1"/>
    <col min="8" max="8" width="15.37109375" customWidth="1"/>
    <col min="9" max="9" width="11.32421875" customWidth="1"/>
    <col min="10" max="10" width="11.0546875" customWidth="1"/>
    <col min="11" max="11" width="10.65234375" style="2" customWidth="1"/>
    <col min="12" max="12" width="18.47265625" customWidth="1"/>
    <col min="14" max="14" width="10.65234375" customWidth="1"/>
  </cols>
  <sheetData>
    <row r="1" spans="1:16" ht="66" customHeight="1" x14ac:dyDescent="0.1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2"/>
      <c r="P1" s="6"/>
    </row>
    <row r="2" spans="1:16" ht="13.5" customHeight="1" x14ac:dyDescent="0.15">
      <c r="A2" s="7"/>
      <c r="B2" s="7"/>
      <c r="C2" s="8"/>
      <c r="D2" s="7"/>
      <c r="E2" s="8"/>
      <c r="F2" s="7"/>
      <c r="G2" s="7"/>
      <c r="H2" s="7"/>
      <c r="I2" s="7"/>
      <c r="J2" s="8"/>
      <c r="K2" s="7"/>
      <c r="P2" s="6" t="str">
        <f>IF(K23&lt;&gt;"",IF(OR(K23&lt;0.2,K23&gt;2),"Verificar",""),"")</f>
        <v/>
      </c>
    </row>
    <row r="3" spans="1:16" ht="39" customHeight="1" x14ac:dyDescent="0.15">
      <c r="A3" s="36" t="s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M3" s="2"/>
      <c r="P3" s="6" t="str">
        <f>IF(K24&lt;&gt;"",IF(OR(K24&lt;0.2,K24&gt;2),"Verificar",""),"")</f>
        <v/>
      </c>
    </row>
    <row r="4" spans="1:16" ht="52.5" customHeight="1" x14ac:dyDescent="0.15">
      <c r="A4" s="9" t="s">
        <v>4</v>
      </c>
      <c r="B4" s="37" t="s">
        <v>5</v>
      </c>
      <c r="C4" s="37"/>
      <c r="D4" s="37"/>
      <c r="E4" s="37"/>
      <c r="F4" s="37"/>
      <c r="G4" s="37"/>
      <c r="H4" s="37"/>
      <c r="I4" s="9" t="s">
        <v>5</v>
      </c>
      <c r="J4" s="9" t="s">
        <v>6</v>
      </c>
      <c r="K4" s="9" t="s">
        <v>7</v>
      </c>
      <c r="M4" s="2"/>
      <c r="P4" s="6" t="str">
        <f>IF(K25&lt;&gt;"",IF(OR(K25&lt;0.2,K25&gt;2),"Verificar",""),"")</f>
        <v/>
      </c>
    </row>
    <row r="5" spans="1:16" ht="13.5" customHeight="1" x14ac:dyDescent="0.15">
      <c r="A5" s="11"/>
      <c r="B5" s="34"/>
      <c r="C5" s="34"/>
      <c r="D5" s="34"/>
      <c r="E5" s="34"/>
      <c r="F5" s="34"/>
      <c r="G5" s="34"/>
      <c r="H5" s="34"/>
      <c r="I5" s="12"/>
      <c r="J5" s="13">
        <f>SUMIF(I23:I337, A5, K23:K337)</f>
        <v>0</v>
      </c>
      <c r="K5" s="13">
        <f>ABS(I5-J5)</f>
        <v>0</v>
      </c>
      <c r="M5" s="2"/>
      <c r="P5" s="6"/>
    </row>
    <row r="6" spans="1:16" ht="13.5" customHeight="1" x14ac:dyDescent="0.15">
      <c r="A6" s="14"/>
      <c r="B6" s="33"/>
      <c r="C6" s="33"/>
      <c r="D6" s="33"/>
      <c r="E6" s="33"/>
      <c r="F6" s="33"/>
      <c r="G6" s="33"/>
      <c r="H6" s="33"/>
      <c r="I6" s="13"/>
      <c r="J6" s="13">
        <f>SUMIF(I23:I337, A6, K23:K337)</f>
        <v>0</v>
      </c>
      <c r="K6" s="13">
        <f>ABS(I6-J6)</f>
        <v>0</v>
      </c>
      <c r="M6" s="2"/>
      <c r="P6" s="6"/>
    </row>
    <row r="7" spans="1:16" ht="13.5" customHeight="1" x14ac:dyDescent="0.15">
      <c r="A7" s="7"/>
      <c r="B7" s="7"/>
      <c r="C7" s="8"/>
      <c r="D7" s="7"/>
      <c r="E7" s="8"/>
      <c r="F7" s="7"/>
      <c r="G7" s="7"/>
      <c r="H7" s="7"/>
      <c r="I7" s="35" t="s">
        <v>8</v>
      </c>
      <c r="J7" s="35"/>
      <c r="K7" s="13">
        <f>SUM(K5:K6)</f>
        <v>0</v>
      </c>
      <c r="M7" s="2"/>
      <c r="P7" s="6"/>
    </row>
    <row r="8" spans="1:16" x14ac:dyDescent="0.15">
      <c r="A8" s="7"/>
      <c r="B8" s="7"/>
      <c r="C8" s="8"/>
      <c r="D8" s="7"/>
      <c r="E8" s="8"/>
      <c r="F8" s="7"/>
      <c r="G8" s="7"/>
      <c r="H8" s="7"/>
      <c r="I8" s="15"/>
      <c r="J8" s="15"/>
      <c r="K8" s="7"/>
      <c r="M8" s="2"/>
      <c r="P8" s="6"/>
    </row>
    <row r="9" spans="1:16" ht="13.5" customHeight="1" x14ac:dyDescent="0.15">
      <c r="A9" s="7"/>
      <c r="B9" s="7"/>
      <c r="C9" s="8"/>
      <c r="D9" s="7"/>
      <c r="E9" s="8"/>
      <c r="F9" s="7"/>
      <c r="G9" s="7"/>
      <c r="H9" s="7"/>
      <c r="I9" s="15"/>
      <c r="J9" s="8"/>
      <c r="K9" s="7"/>
      <c r="M9" s="2"/>
      <c r="P9" s="6"/>
    </row>
    <row r="10" spans="1:16" ht="21" customHeight="1" x14ac:dyDescent="0.15">
      <c r="A10" s="36" t="s">
        <v>9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M10" s="2"/>
      <c r="P10" s="6"/>
    </row>
    <row r="11" spans="1:16" ht="13.5" customHeight="1" x14ac:dyDescent="0.15">
      <c r="A11" s="9" t="s">
        <v>10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9" t="s">
        <v>12</v>
      </c>
      <c r="M11" s="2"/>
      <c r="P11" s="6" t="str">
        <f>IF(K32&lt;&gt;"",IF(OR(K32&lt;0.2,K32&gt;2),"Verificar",""),"")</f>
        <v/>
      </c>
    </row>
    <row r="12" spans="1:16" x14ac:dyDescent="0.15">
      <c r="A12" s="11" t="s">
        <v>13</v>
      </c>
      <c r="B12" s="34"/>
      <c r="C12" s="34"/>
      <c r="D12" s="34"/>
      <c r="E12" s="34"/>
      <c r="F12" s="34"/>
      <c r="G12" s="34"/>
      <c r="H12" s="34"/>
      <c r="I12" s="34"/>
      <c r="J12" s="34"/>
      <c r="K12" s="12">
        <v>0</v>
      </c>
      <c r="M12" s="2"/>
      <c r="P12" s="6" t="str">
        <f>IF(K33&lt;&gt;"",IF(OR(K33&lt;0.2,K33&gt;2),"Verificar",""),"")</f>
        <v/>
      </c>
    </row>
    <row r="13" spans="1:16" ht="12.75" customHeight="1" x14ac:dyDescent="0.15">
      <c r="A13" s="11" t="s">
        <v>14</v>
      </c>
      <c r="B13" s="34" t="s">
        <v>15</v>
      </c>
      <c r="C13" s="34"/>
      <c r="D13" s="34"/>
      <c r="E13" s="34"/>
      <c r="F13" s="34"/>
      <c r="G13" s="34"/>
      <c r="H13" s="34"/>
      <c r="I13" s="34"/>
      <c r="J13" s="34"/>
      <c r="K13" s="12">
        <v>10</v>
      </c>
      <c r="M13" s="2"/>
      <c r="P13" s="6"/>
    </row>
    <row r="14" spans="1:16" x14ac:dyDescent="0.15">
      <c r="A14" s="11" t="s">
        <v>16</v>
      </c>
      <c r="B14" s="34"/>
      <c r="C14" s="34"/>
      <c r="D14" s="34"/>
      <c r="E14" s="34"/>
      <c r="F14" s="34"/>
      <c r="G14" s="34"/>
      <c r="H14" s="34"/>
      <c r="I14" s="34"/>
      <c r="J14" s="34"/>
      <c r="K14" s="12">
        <v>0</v>
      </c>
      <c r="M14" s="2"/>
      <c r="P14" s="6" t="str">
        <f>IF(K35&lt;&gt;"",IF(OR(K35&lt;0.2,K35&gt;2),"Verificar",""),"")</f>
        <v/>
      </c>
    </row>
    <row r="15" spans="1:16" x14ac:dyDescent="0.15">
      <c r="A15" s="11" t="s">
        <v>17</v>
      </c>
      <c r="B15" s="34"/>
      <c r="C15" s="34"/>
      <c r="D15" s="34"/>
      <c r="E15" s="34"/>
      <c r="F15" s="34"/>
      <c r="G15" s="34"/>
      <c r="H15" s="34"/>
      <c r="I15" s="34"/>
      <c r="J15" s="34"/>
      <c r="K15" s="12">
        <v>0</v>
      </c>
      <c r="M15" s="2"/>
      <c r="P15" s="6" t="str">
        <f>IF(K36&lt;&gt;"",IF(OR(K36&lt;0.2,K36&gt;2),"Verificar",""),"")</f>
        <v/>
      </c>
    </row>
    <row r="16" spans="1:16" x14ac:dyDescent="0.15">
      <c r="A16" s="11" t="s">
        <v>18</v>
      </c>
      <c r="B16" s="34"/>
      <c r="C16" s="34"/>
      <c r="D16" s="34"/>
      <c r="E16" s="34"/>
      <c r="F16" s="34"/>
      <c r="G16" s="34"/>
      <c r="H16" s="34"/>
      <c r="I16" s="34"/>
      <c r="J16" s="34"/>
      <c r="K16" s="12">
        <v>0</v>
      </c>
      <c r="M16" s="2"/>
      <c r="P16" s="6"/>
    </row>
    <row r="17" spans="1:16" x14ac:dyDescent="0.15">
      <c r="A17" s="11" t="s">
        <v>19</v>
      </c>
      <c r="B17" s="34"/>
      <c r="C17" s="34"/>
      <c r="D17" s="34"/>
      <c r="E17" s="34"/>
      <c r="F17" s="34"/>
      <c r="G17" s="34"/>
      <c r="H17" s="34"/>
      <c r="I17" s="34"/>
      <c r="J17" s="34"/>
      <c r="K17" s="12"/>
      <c r="M17" s="2"/>
      <c r="P17" s="6" t="str">
        <f>IF(K38&lt;&gt;"",IF(OR(K38&lt;0.2,K38&gt;2),"Verificar",""),"")</f>
        <v/>
      </c>
    </row>
    <row r="18" spans="1:16" x14ac:dyDescent="0.15">
      <c r="A18" s="11" t="s">
        <v>20</v>
      </c>
      <c r="B18" s="34"/>
      <c r="C18" s="34"/>
      <c r="D18" s="34"/>
      <c r="E18" s="34"/>
      <c r="F18" s="34"/>
      <c r="G18" s="34"/>
      <c r="H18" s="34"/>
      <c r="I18" s="34"/>
      <c r="J18" s="34"/>
      <c r="K18" s="12"/>
      <c r="M18" s="2"/>
      <c r="P18" s="6" t="str">
        <f>IF(K39&lt;&gt;"",IF(OR(K39&lt;0.2,K39&gt;2),"Verificar",""),"")</f>
        <v/>
      </c>
    </row>
    <row r="19" spans="1:16" ht="13.5" customHeight="1" x14ac:dyDescent="0.15">
      <c r="A19" s="14" t="s">
        <v>21</v>
      </c>
      <c r="B19" s="33"/>
      <c r="C19" s="33"/>
      <c r="D19" s="33"/>
      <c r="E19" s="33"/>
      <c r="F19" s="33"/>
      <c r="G19" s="33"/>
      <c r="H19" s="33"/>
      <c r="I19" s="33"/>
      <c r="J19" s="33"/>
      <c r="K19" s="13"/>
      <c r="M19" s="2"/>
      <c r="P19" s="6"/>
    </row>
    <row r="20" spans="1:16" x14ac:dyDescent="0.15">
      <c r="A20" s="7"/>
      <c r="B20" s="7"/>
      <c r="C20" s="7"/>
      <c r="D20" s="7"/>
      <c r="E20" s="7"/>
      <c r="F20" s="16"/>
      <c r="G20" s="16"/>
      <c r="H20" s="16"/>
      <c r="I20" s="16"/>
      <c r="J20" s="17"/>
      <c r="K20" s="7"/>
      <c r="M20" s="2"/>
      <c r="P20" s="6" t="str">
        <f>IF(K41&lt;&gt;"",IF(OR(K41&lt;0.2,K41&gt;2),"Verificar",""),"")</f>
        <v/>
      </c>
    </row>
    <row r="21" spans="1:16" ht="13.5" customHeight="1" x14ac:dyDescent="0.15">
      <c r="A21" s="7"/>
      <c r="B21" s="7"/>
      <c r="C21" s="17"/>
      <c r="D21" s="7"/>
      <c r="E21" s="7"/>
      <c r="F21" s="7"/>
      <c r="G21" s="7"/>
      <c r="H21" s="17"/>
      <c r="I21" s="17"/>
      <c r="J21" s="17"/>
      <c r="K21" s="7"/>
      <c r="M21" s="2"/>
      <c r="P21" s="6" t="str">
        <f>IF(K42&lt;&gt;"",IF(OR(K42&lt;0.2,K42&gt;2),"Verificar",""),"")</f>
        <v/>
      </c>
    </row>
    <row r="22" spans="1:16" ht="66" customHeight="1" x14ac:dyDescent="0.25">
      <c r="A22" s="10" t="s">
        <v>22</v>
      </c>
      <c r="B22" s="10" t="s">
        <v>23</v>
      </c>
      <c r="C22" s="10" t="s">
        <v>24</v>
      </c>
      <c r="D22" s="10" t="s">
        <v>25</v>
      </c>
      <c r="E22" s="10" t="s">
        <v>26</v>
      </c>
      <c r="F22" s="10" t="s">
        <v>27</v>
      </c>
      <c r="G22" s="10" t="s">
        <v>28</v>
      </c>
      <c r="H22" s="10" t="s">
        <v>29</v>
      </c>
      <c r="I22" s="10" t="s">
        <v>30</v>
      </c>
      <c r="J22" s="10" t="s">
        <v>31</v>
      </c>
      <c r="K22" s="18" t="s">
        <v>32</v>
      </c>
      <c r="L22" s="3" t="s">
        <v>1</v>
      </c>
      <c r="M22" s="4" t="s">
        <v>2</v>
      </c>
      <c r="N22" s="5">
        <f>SUM(K23:K65)</f>
        <v>10</v>
      </c>
      <c r="P22" s="6"/>
    </row>
    <row r="23" spans="1:16" x14ac:dyDescent="0.15">
      <c r="A23" s="19" t="s">
        <v>33</v>
      </c>
      <c r="B23" s="20" t="s">
        <v>34</v>
      </c>
      <c r="C23" s="19" t="s">
        <v>35</v>
      </c>
      <c r="D23" s="21"/>
      <c r="E23" s="21"/>
      <c r="F23" s="21"/>
      <c r="G23" s="21"/>
      <c r="H23" s="21"/>
      <c r="I23" s="21"/>
      <c r="J23" s="21"/>
      <c r="K23" s="22"/>
      <c r="M23" s="2"/>
      <c r="P23" s="6" t="str">
        <f>IF(K44&lt;&gt;"",IF(OR(K44&lt;0.2,K44&gt;2),"Verificar",""),"")</f>
        <v/>
      </c>
    </row>
    <row r="24" spans="1:16" ht="39" customHeight="1" x14ac:dyDescent="0.15">
      <c r="A24" s="19"/>
      <c r="B24" s="21"/>
      <c r="C24" s="19"/>
      <c r="D24" s="19" t="s">
        <v>36</v>
      </c>
      <c r="E24" s="21" t="s">
        <v>37</v>
      </c>
      <c r="F24" s="19"/>
      <c r="G24" s="23" t="s">
        <v>38</v>
      </c>
      <c r="H24" s="21"/>
      <c r="I24" s="19"/>
      <c r="J24" s="19"/>
      <c r="K24" s="24">
        <v>0.3</v>
      </c>
      <c r="M24" s="2"/>
      <c r="P24" s="6" t="str">
        <f>IF(K45&lt;&gt;"",IF(OR(K45&lt;0.2,K45&gt;2),"Verificar",""),"")</f>
        <v/>
      </c>
    </row>
    <row r="25" spans="1:16" ht="39" customHeight="1" x14ac:dyDescent="0.15">
      <c r="A25" s="19"/>
      <c r="B25" s="21"/>
      <c r="C25" s="19"/>
      <c r="D25" s="19" t="s">
        <v>36</v>
      </c>
      <c r="E25" s="21" t="s">
        <v>39</v>
      </c>
      <c r="F25" s="19"/>
      <c r="G25" s="23" t="s">
        <v>40</v>
      </c>
      <c r="H25" s="21"/>
      <c r="I25" s="19"/>
      <c r="J25" s="19"/>
      <c r="K25" s="24">
        <v>0.3</v>
      </c>
      <c r="M25" s="2"/>
      <c r="P25" s="6"/>
    </row>
    <row r="26" spans="1:16" x14ac:dyDescent="0.15">
      <c r="A26" s="19"/>
      <c r="B26" s="21"/>
      <c r="C26" s="19"/>
      <c r="D26" s="19" t="s">
        <v>41</v>
      </c>
      <c r="E26" s="21" t="s">
        <v>42</v>
      </c>
      <c r="F26" s="19"/>
      <c r="G26" s="23"/>
      <c r="H26" s="21"/>
      <c r="I26" s="19"/>
      <c r="J26" s="19"/>
      <c r="K26" s="24">
        <v>0.6</v>
      </c>
      <c r="M26" s="2"/>
      <c r="P26" s="6" t="str">
        <f>IF(K47&lt;&gt;"",IF(OR(K47&lt;0.2,K47&gt;2),"Verificar",""),"")</f>
        <v/>
      </c>
    </row>
    <row r="27" spans="1:16" x14ac:dyDescent="0.15">
      <c r="A27" s="19"/>
      <c r="B27" s="21"/>
      <c r="C27" s="19"/>
      <c r="D27" s="19"/>
      <c r="E27" s="21"/>
      <c r="F27" s="19">
        <v>0</v>
      </c>
      <c r="G27" s="23" t="s">
        <v>43</v>
      </c>
      <c r="H27" s="21"/>
      <c r="I27" s="19"/>
      <c r="J27" s="19"/>
      <c r="K27" s="24"/>
      <c r="M27" s="2"/>
      <c r="P27" s="6" t="str">
        <f>IF(K48&lt;&gt;"",IF(OR(K48&lt;0.2,K48&gt;2),"Verificar",""),"")</f>
        <v/>
      </c>
    </row>
    <row r="28" spans="1:16" x14ac:dyDescent="0.15">
      <c r="A28" s="19"/>
      <c r="B28" s="21"/>
      <c r="C28" s="19"/>
      <c r="D28" s="19"/>
      <c r="E28" s="21"/>
      <c r="F28" s="19">
        <v>1</v>
      </c>
      <c r="G28" s="23" t="s">
        <v>44</v>
      </c>
      <c r="H28" s="21"/>
      <c r="I28" s="19"/>
      <c r="J28" s="19"/>
      <c r="K28" s="24"/>
      <c r="M28" s="2"/>
      <c r="P28" s="6"/>
    </row>
    <row r="29" spans="1:16" ht="26.25" customHeight="1" x14ac:dyDescent="0.15">
      <c r="A29" s="19"/>
      <c r="B29" s="21"/>
      <c r="C29" s="19"/>
      <c r="D29" s="19"/>
      <c r="E29" s="21"/>
      <c r="F29" s="19">
        <v>2</v>
      </c>
      <c r="G29" s="23" t="s">
        <v>45</v>
      </c>
      <c r="H29" s="21"/>
      <c r="I29" s="19"/>
      <c r="J29" s="19"/>
      <c r="K29" s="24"/>
      <c r="M29" s="2"/>
      <c r="P29" s="6" t="str">
        <f>IF(K50&lt;&gt;"",IF(OR(K50&lt;0.2,K50&gt;2),"Verificar",""),"")</f>
        <v/>
      </c>
    </row>
    <row r="30" spans="1:16" ht="26.25" customHeight="1" x14ac:dyDescent="0.15">
      <c r="A30" s="19"/>
      <c r="B30" s="21"/>
      <c r="C30" s="19"/>
      <c r="D30" s="19"/>
      <c r="E30" s="21"/>
      <c r="F30" s="19">
        <v>3</v>
      </c>
      <c r="G30" s="23" t="s">
        <v>46</v>
      </c>
      <c r="H30" s="21"/>
      <c r="I30" s="19"/>
      <c r="J30" s="19"/>
      <c r="K30" s="24"/>
      <c r="M30" s="2"/>
      <c r="P30" s="6" t="str">
        <f>IF(K51&lt;&gt;"",IF(OR(K51&lt;0.2,K51&gt;2),"Verificar",""),"")</f>
        <v/>
      </c>
    </row>
    <row r="31" spans="1:16" x14ac:dyDescent="0.15">
      <c r="A31" s="19" t="s">
        <v>47</v>
      </c>
      <c r="B31" s="21" t="s">
        <v>48</v>
      </c>
      <c r="C31" s="19" t="s">
        <v>35</v>
      </c>
      <c r="D31" s="19"/>
      <c r="E31" s="21"/>
      <c r="F31" s="19"/>
      <c r="G31" s="23"/>
      <c r="H31" s="21"/>
      <c r="I31" s="19"/>
      <c r="J31" s="19"/>
      <c r="K31" s="24"/>
      <c r="M31" s="2"/>
      <c r="P31" s="6"/>
    </row>
    <row r="32" spans="1:16" ht="52.5" customHeight="1" x14ac:dyDescent="0.15">
      <c r="A32" s="19"/>
      <c r="B32" s="21"/>
      <c r="C32" s="19"/>
      <c r="D32" s="19" t="s">
        <v>36</v>
      </c>
      <c r="E32" s="21" t="s">
        <v>49</v>
      </c>
      <c r="F32" s="19"/>
      <c r="G32" s="23" t="s">
        <v>50</v>
      </c>
      <c r="H32" s="21"/>
      <c r="I32" s="19"/>
      <c r="J32" s="19"/>
      <c r="K32" s="24">
        <v>0.2</v>
      </c>
      <c r="M32" s="2"/>
      <c r="P32" s="6" t="str">
        <f>IF(K53&lt;&gt;"",IF(OR(K53&lt;0.2,K53&gt;2),"Verificar",""),"")</f>
        <v/>
      </c>
    </row>
    <row r="33" spans="1:16" ht="78.75" customHeight="1" x14ac:dyDescent="0.15">
      <c r="A33" s="19"/>
      <c r="B33" s="21"/>
      <c r="C33" s="19"/>
      <c r="D33" s="19" t="s">
        <v>36</v>
      </c>
      <c r="E33" s="21" t="s">
        <v>51</v>
      </c>
      <c r="F33" s="19"/>
      <c r="G33" s="23" t="s">
        <v>91</v>
      </c>
      <c r="H33" s="21"/>
      <c r="I33" s="19"/>
      <c r="J33" s="19"/>
      <c r="K33" s="24">
        <v>0.55000000000000004</v>
      </c>
      <c r="M33" s="2"/>
      <c r="P33" s="6" t="str">
        <f>IF(K54&lt;&gt;"",IF(OR(K54&lt;0.2,K54&gt;2),"Verificar",""),"")</f>
        <v/>
      </c>
    </row>
    <row r="34" spans="1:16" x14ac:dyDescent="0.15">
      <c r="A34" s="19" t="s">
        <v>52</v>
      </c>
      <c r="B34" s="21" t="s">
        <v>53</v>
      </c>
      <c r="C34" s="19" t="s">
        <v>35</v>
      </c>
      <c r="D34" s="19"/>
      <c r="E34" s="21"/>
      <c r="F34" s="19"/>
      <c r="G34" s="23"/>
      <c r="H34" s="21"/>
      <c r="I34" s="19"/>
      <c r="J34" s="19"/>
      <c r="K34" s="24"/>
      <c r="M34" s="2"/>
      <c r="P34" s="6"/>
    </row>
    <row r="35" spans="1:16" ht="158.25" customHeight="1" x14ac:dyDescent="0.15">
      <c r="A35" s="19"/>
      <c r="B35" s="21"/>
      <c r="C35" s="19"/>
      <c r="D35" s="19" t="s">
        <v>36</v>
      </c>
      <c r="E35" s="21" t="s">
        <v>49</v>
      </c>
      <c r="F35" s="19"/>
      <c r="G35" s="23" t="s">
        <v>92</v>
      </c>
      <c r="H35" s="21"/>
      <c r="I35" s="19"/>
      <c r="J35" s="19"/>
      <c r="K35" s="24">
        <v>0.45</v>
      </c>
      <c r="M35" s="2"/>
      <c r="P35" s="6" t="str">
        <f t="shared" ref="P35:P44" si="0">IF(K56&lt;&gt;"",IF(OR(K56&lt;0.2,K56&gt;2),"Verificar",""),"")</f>
        <v/>
      </c>
    </row>
    <row r="36" spans="1:16" ht="144.75" customHeight="1" x14ac:dyDescent="0.15">
      <c r="A36" s="19"/>
      <c r="B36" s="21"/>
      <c r="C36" s="19"/>
      <c r="D36" s="19" t="s">
        <v>36</v>
      </c>
      <c r="E36" s="21" t="s">
        <v>51</v>
      </c>
      <c r="F36" s="19"/>
      <c r="G36" s="23" t="s">
        <v>54</v>
      </c>
      <c r="H36" s="21"/>
      <c r="I36" s="19"/>
      <c r="J36" s="19"/>
      <c r="K36" s="24">
        <v>0.65</v>
      </c>
      <c r="M36" s="2"/>
      <c r="P36" s="6" t="str">
        <f t="shared" si="0"/>
        <v/>
      </c>
    </row>
    <row r="37" spans="1:16" x14ac:dyDescent="0.15">
      <c r="A37" s="19" t="s">
        <v>55</v>
      </c>
      <c r="B37" s="21" t="s">
        <v>56</v>
      </c>
      <c r="C37" s="19" t="s">
        <v>35</v>
      </c>
      <c r="D37" s="19"/>
      <c r="E37" s="21"/>
      <c r="F37" s="19"/>
      <c r="G37" s="23"/>
      <c r="H37" s="21"/>
      <c r="I37" s="19"/>
      <c r="J37" s="19"/>
      <c r="K37" s="24"/>
      <c r="M37" s="2"/>
      <c r="P37" s="6" t="str">
        <f t="shared" si="0"/>
        <v/>
      </c>
    </row>
    <row r="38" spans="1:16" ht="224.25" customHeight="1" x14ac:dyDescent="0.15">
      <c r="A38" s="19"/>
      <c r="B38" s="21"/>
      <c r="C38" s="19"/>
      <c r="D38" s="19" t="s">
        <v>36</v>
      </c>
      <c r="E38" s="21" t="s">
        <v>49</v>
      </c>
      <c r="F38" s="19"/>
      <c r="G38" s="23" t="s">
        <v>57</v>
      </c>
      <c r="H38" s="21"/>
      <c r="I38" s="19"/>
      <c r="J38" s="19"/>
      <c r="K38" s="24">
        <v>0.5</v>
      </c>
      <c r="M38" s="2"/>
      <c r="P38" s="6" t="str">
        <f t="shared" si="0"/>
        <v/>
      </c>
    </row>
    <row r="39" spans="1:16" ht="92.25" customHeight="1" x14ac:dyDescent="0.15">
      <c r="A39" s="19"/>
      <c r="B39" s="21"/>
      <c r="C39" s="19"/>
      <c r="D39" s="19" t="s">
        <v>36</v>
      </c>
      <c r="E39" s="21" t="s">
        <v>51</v>
      </c>
      <c r="F39" s="19"/>
      <c r="G39" s="23" t="s">
        <v>58</v>
      </c>
      <c r="H39" s="21"/>
      <c r="I39" s="19"/>
      <c r="J39" s="19"/>
      <c r="K39" s="24">
        <v>0.35</v>
      </c>
      <c r="M39" s="2"/>
      <c r="P39" s="6" t="str">
        <f t="shared" si="0"/>
        <v/>
      </c>
    </row>
    <row r="40" spans="1:16" ht="26.25" customHeight="1" x14ac:dyDescent="0.15">
      <c r="A40" s="19" t="s">
        <v>59</v>
      </c>
      <c r="B40" s="21" t="s">
        <v>60</v>
      </c>
      <c r="C40" s="19"/>
      <c r="D40" s="19"/>
      <c r="E40" s="21"/>
      <c r="F40" s="19"/>
      <c r="G40" s="23"/>
      <c r="H40" s="21"/>
      <c r="I40" s="19"/>
      <c r="J40" s="19"/>
      <c r="K40" s="24"/>
      <c r="L40" s="2"/>
      <c r="M40" s="2"/>
      <c r="P40" s="6" t="str">
        <f t="shared" si="0"/>
        <v/>
      </c>
    </row>
    <row r="41" spans="1:16" ht="183.75" customHeight="1" x14ac:dyDescent="0.15">
      <c r="A41" s="19"/>
      <c r="B41" s="21"/>
      <c r="C41" s="19"/>
      <c r="D41" s="19" t="s">
        <v>36</v>
      </c>
      <c r="E41" s="21" t="s">
        <v>49</v>
      </c>
      <c r="F41" s="19"/>
      <c r="G41" s="23" t="s">
        <v>61</v>
      </c>
      <c r="H41" s="21"/>
      <c r="I41" s="19"/>
      <c r="J41" s="19"/>
      <c r="K41" s="24">
        <v>0.5</v>
      </c>
      <c r="M41" s="2"/>
      <c r="P41" s="6" t="str">
        <f t="shared" si="0"/>
        <v/>
      </c>
    </row>
    <row r="42" spans="1:16" ht="84" customHeight="1" x14ac:dyDescent="0.15">
      <c r="A42" s="19"/>
      <c r="B42" s="21"/>
      <c r="C42" s="19"/>
      <c r="D42" s="19" t="s">
        <v>36</v>
      </c>
      <c r="E42" s="21" t="s">
        <v>51</v>
      </c>
      <c r="F42" s="19"/>
      <c r="G42" s="23" t="s">
        <v>62</v>
      </c>
      <c r="H42" s="21"/>
      <c r="I42" s="19"/>
      <c r="J42" s="19"/>
      <c r="K42" s="24">
        <v>0.4</v>
      </c>
      <c r="M42" s="2"/>
      <c r="P42" s="6" t="str">
        <f t="shared" si="0"/>
        <v/>
      </c>
    </row>
    <row r="43" spans="1:16" ht="26.25" customHeight="1" x14ac:dyDescent="0.15">
      <c r="A43" s="19" t="s">
        <v>63</v>
      </c>
      <c r="B43" s="21" t="s">
        <v>64</v>
      </c>
      <c r="C43" s="19" t="s">
        <v>35</v>
      </c>
      <c r="D43" s="19"/>
      <c r="E43" s="21"/>
      <c r="F43" s="19"/>
      <c r="G43" s="23"/>
      <c r="H43" s="21"/>
      <c r="I43" s="19"/>
      <c r="J43" s="19"/>
      <c r="K43" s="24"/>
      <c r="M43" s="2"/>
      <c r="P43" s="6" t="str">
        <f t="shared" si="0"/>
        <v/>
      </c>
    </row>
    <row r="44" spans="1:16" ht="158.25" customHeight="1" x14ac:dyDescent="0.15">
      <c r="A44" s="19"/>
      <c r="B44" s="21"/>
      <c r="C44" s="19"/>
      <c r="D44" s="25" t="s">
        <v>36</v>
      </c>
      <c r="E44" s="23" t="s">
        <v>49</v>
      </c>
      <c r="F44" s="23"/>
      <c r="G44" s="23" t="s">
        <v>65</v>
      </c>
      <c r="H44" s="23"/>
      <c r="I44" s="25"/>
      <c r="J44" s="23"/>
      <c r="K44" s="26">
        <v>0.5</v>
      </c>
      <c r="M44" s="2"/>
      <c r="P44" s="6" t="str">
        <f t="shared" si="0"/>
        <v/>
      </c>
    </row>
    <row r="45" spans="1:16" ht="107.25" customHeight="1" x14ac:dyDescent="0.15">
      <c r="A45" s="19"/>
      <c r="B45" s="21"/>
      <c r="C45" s="19"/>
      <c r="D45" s="25" t="s">
        <v>36</v>
      </c>
      <c r="E45" s="23" t="s">
        <v>51</v>
      </c>
      <c r="F45" s="23"/>
      <c r="G45" s="23" t="s">
        <v>66</v>
      </c>
      <c r="H45" s="23"/>
      <c r="I45" s="25"/>
      <c r="J45" s="23"/>
      <c r="K45" s="26">
        <v>0.5</v>
      </c>
    </row>
    <row r="46" spans="1:16" ht="37.5" customHeight="1" x14ac:dyDescent="0.15">
      <c r="A46" s="19" t="s">
        <v>67</v>
      </c>
      <c r="B46" s="21" t="s">
        <v>68</v>
      </c>
      <c r="C46" s="19" t="s">
        <v>35</v>
      </c>
      <c r="D46" s="25"/>
      <c r="E46" s="23"/>
      <c r="F46" s="23"/>
      <c r="G46" s="23"/>
      <c r="H46" s="23"/>
      <c r="I46" s="25"/>
      <c r="J46" s="23"/>
      <c r="K46" s="26"/>
    </row>
    <row r="47" spans="1:16" ht="124.5" customHeight="1" x14ac:dyDescent="0.15">
      <c r="A47" s="19"/>
      <c r="B47" s="21"/>
      <c r="C47" s="19"/>
      <c r="D47" s="19" t="s">
        <v>36</v>
      </c>
      <c r="E47" s="21" t="s">
        <v>49</v>
      </c>
      <c r="F47" s="19"/>
      <c r="G47" s="23" t="s">
        <v>69</v>
      </c>
      <c r="H47" s="21"/>
      <c r="I47" s="19"/>
      <c r="J47" s="19"/>
      <c r="K47" s="24">
        <v>0.3</v>
      </c>
    </row>
    <row r="48" spans="1:16" ht="150" customHeight="1" x14ac:dyDescent="0.15">
      <c r="A48" s="19"/>
      <c r="B48" s="21"/>
      <c r="C48" s="19"/>
      <c r="D48" s="19" t="s">
        <v>36</v>
      </c>
      <c r="E48" s="21" t="s">
        <v>51</v>
      </c>
      <c r="F48" s="19"/>
      <c r="G48" s="23" t="s">
        <v>70</v>
      </c>
      <c r="H48" s="21"/>
      <c r="I48" s="19"/>
      <c r="J48" s="19"/>
      <c r="K48" s="24">
        <v>0.6</v>
      </c>
    </row>
    <row r="49" spans="1:11" x14ac:dyDescent="0.15">
      <c r="A49" s="19" t="s">
        <v>71</v>
      </c>
      <c r="B49" s="21" t="s">
        <v>72</v>
      </c>
      <c r="C49" s="19" t="s">
        <v>35</v>
      </c>
      <c r="D49" s="19"/>
      <c r="E49" s="21"/>
      <c r="F49" s="19"/>
      <c r="G49" s="23"/>
      <c r="H49" s="21"/>
      <c r="I49" s="19"/>
      <c r="J49" s="19"/>
      <c r="K49" s="24"/>
    </row>
    <row r="50" spans="1:11" ht="171" customHeight="1" x14ac:dyDescent="0.15">
      <c r="A50" s="19"/>
      <c r="B50" s="21"/>
      <c r="C50" s="19"/>
      <c r="D50" s="19" t="s">
        <v>36</v>
      </c>
      <c r="E50" s="21" t="s">
        <v>49</v>
      </c>
      <c r="F50" s="19"/>
      <c r="G50" s="23" t="s">
        <v>73</v>
      </c>
      <c r="H50" s="21"/>
      <c r="I50" s="19"/>
      <c r="J50" s="19"/>
      <c r="K50" s="24">
        <v>0.4</v>
      </c>
    </row>
    <row r="51" spans="1:11" ht="66" customHeight="1" x14ac:dyDescent="0.15">
      <c r="A51" s="19"/>
      <c r="B51" s="21"/>
      <c r="C51" s="19"/>
      <c r="D51" s="19" t="s">
        <v>36</v>
      </c>
      <c r="E51" s="21" t="s">
        <v>51</v>
      </c>
      <c r="F51" s="19"/>
      <c r="G51" s="23" t="s">
        <v>74</v>
      </c>
      <c r="H51" s="21"/>
      <c r="I51" s="19"/>
      <c r="J51" s="19"/>
      <c r="K51" s="24">
        <v>0.3</v>
      </c>
    </row>
    <row r="52" spans="1:11" x14ac:dyDescent="0.15">
      <c r="A52" s="19" t="s">
        <v>75</v>
      </c>
      <c r="B52" s="21" t="s">
        <v>76</v>
      </c>
      <c r="C52" s="19" t="s">
        <v>35</v>
      </c>
      <c r="D52" s="19"/>
      <c r="E52" s="21"/>
      <c r="F52" s="19"/>
      <c r="G52" s="23"/>
      <c r="H52" s="21"/>
      <c r="I52" s="19"/>
      <c r="J52" s="19"/>
      <c r="K52" s="24"/>
    </row>
    <row r="53" spans="1:11" ht="132" customHeight="1" x14ac:dyDescent="0.15">
      <c r="A53" s="19"/>
      <c r="B53" s="21"/>
      <c r="C53" s="19"/>
      <c r="D53" s="19" t="s">
        <v>36</v>
      </c>
      <c r="E53" s="21" t="s">
        <v>49</v>
      </c>
      <c r="F53" s="19"/>
      <c r="G53" s="23" t="s">
        <v>93</v>
      </c>
      <c r="H53" s="21"/>
      <c r="I53" s="19"/>
      <c r="J53" s="19"/>
      <c r="K53" s="24">
        <v>0.4</v>
      </c>
    </row>
    <row r="54" spans="1:11" ht="54.75" customHeight="1" x14ac:dyDescent="0.15">
      <c r="A54" s="19"/>
      <c r="B54" s="21"/>
      <c r="C54" s="19"/>
      <c r="D54" s="19" t="s">
        <v>36</v>
      </c>
      <c r="E54" s="21" t="s">
        <v>51</v>
      </c>
      <c r="F54" s="19"/>
      <c r="G54" s="23" t="s">
        <v>77</v>
      </c>
      <c r="H54" s="21"/>
      <c r="I54" s="19"/>
      <c r="J54" s="19"/>
      <c r="K54" s="24">
        <v>0.2</v>
      </c>
    </row>
    <row r="55" spans="1:11" x14ac:dyDescent="0.15">
      <c r="A55" s="19" t="s">
        <v>78</v>
      </c>
      <c r="B55" s="21" t="s">
        <v>79</v>
      </c>
      <c r="C55" s="19" t="s">
        <v>35</v>
      </c>
      <c r="D55" s="19"/>
      <c r="E55" s="21"/>
      <c r="F55" s="19"/>
      <c r="G55" s="23"/>
      <c r="H55" s="21"/>
      <c r="I55" s="19"/>
      <c r="J55" s="19"/>
      <c r="K55" s="24"/>
    </row>
    <row r="56" spans="1:11" x14ac:dyDescent="0.15">
      <c r="A56" s="19"/>
      <c r="B56" s="21"/>
      <c r="C56" s="19"/>
      <c r="D56" s="19" t="s">
        <v>41</v>
      </c>
      <c r="E56" s="21" t="s">
        <v>80</v>
      </c>
      <c r="F56" s="19"/>
      <c r="G56" s="23"/>
      <c r="H56" s="21"/>
      <c r="I56" s="19"/>
      <c r="J56" s="19"/>
      <c r="K56" s="24">
        <v>1</v>
      </c>
    </row>
    <row r="57" spans="1:11" ht="26.25" customHeight="1" x14ac:dyDescent="0.15">
      <c r="A57" s="19"/>
      <c r="B57" s="21"/>
      <c r="C57" s="19"/>
      <c r="D57" s="19"/>
      <c r="E57" s="21"/>
      <c r="F57" s="19">
        <v>0</v>
      </c>
      <c r="G57" s="23" t="s">
        <v>81</v>
      </c>
      <c r="H57" s="21"/>
      <c r="I57" s="19"/>
      <c r="J57" s="19"/>
      <c r="K57" s="24"/>
    </row>
    <row r="58" spans="1:11" ht="26.25" customHeight="1" x14ac:dyDescent="0.15">
      <c r="A58" s="19"/>
      <c r="B58" s="21"/>
      <c r="C58" s="19"/>
      <c r="D58" s="19"/>
      <c r="E58" s="21"/>
      <c r="F58" s="19">
        <v>1</v>
      </c>
      <c r="G58" s="23" t="s">
        <v>82</v>
      </c>
      <c r="H58" s="21"/>
      <c r="I58" s="19"/>
      <c r="J58" s="19"/>
      <c r="K58" s="24"/>
    </row>
    <row r="59" spans="1:11" ht="66" customHeight="1" x14ac:dyDescent="0.15">
      <c r="A59" s="19"/>
      <c r="B59" s="21"/>
      <c r="C59" s="19"/>
      <c r="D59" s="19"/>
      <c r="E59" s="21"/>
      <c r="F59" s="19">
        <v>2</v>
      </c>
      <c r="G59" s="23" t="s">
        <v>83</v>
      </c>
      <c r="H59" s="21"/>
      <c r="I59" s="19"/>
      <c r="J59" s="19"/>
      <c r="K59" s="24"/>
    </row>
    <row r="60" spans="1:11" ht="26.25" customHeight="1" x14ac:dyDescent="0.15">
      <c r="A60" s="19"/>
      <c r="B60" s="21"/>
      <c r="C60" s="19"/>
      <c r="D60" s="19"/>
      <c r="E60" s="21"/>
      <c r="F60" s="19">
        <v>3</v>
      </c>
      <c r="G60" s="23" t="s">
        <v>84</v>
      </c>
      <c r="H60" s="21"/>
      <c r="I60" s="19"/>
      <c r="J60" s="19"/>
      <c r="K60" s="24"/>
    </row>
    <row r="61" spans="1:11" x14ac:dyDescent="0.15">
      <c r="A61" s="19"/>
      <c r="B61" s="21"/>
      <c r="C61" s="19"/>
      <c r="D61" s="19" t="s">
        <v>41</v>
      </c>
      <c r="E61" s="21" t="s">
        <v>85</v>
      </c>
      <c r="F61" s="19"/>
      <c r="G61" s="23"/>
      <c r="H61" s="21"/>
      <c r="I61" s="19"/>
      <c r="J61" s="19"/>
      <c r="K61" s="24">
        <v>1</v>
      </c>
    </row>
    <row r="62" spans="1:11" ht="39" customHeight="1" x14ac:dyDescent="0.15">
      <c r="A62" s="19"/>
      <c r="B62" s="21"/>
      <c r="C62" s="19"/>
      <c r="D62" s="19"/>
      <c r="E62" s="21"/>
      <c r="F62" s="19">
        <v>0</v>
      </c>
      <c r="G62" s="23" t="s">
        <v>86</v>
      </c>
      <c r="H62" s="21"/>
      <c r="I62" s="19"/>
      <c r="J62" s="19"/>
      <c r="K62" s="24"/>
    </row>
    <row r="63" spans="1:11" ht="39" customHeight="1" x14ac:dyDescent="0.15">
      <c r="A63" s="19"/>
      <c r="B63" s="21"/>
      <c r="C63" s="19"/>
      <c r="D63" s="19"/>
      <c r="E63" s="21"/>
      <c r="F63" s="19">
        <v>1</v>
      </c>
      <c r="G63" s="23" t="s">
        <v>87</v>
      </c>
      <c r="H63" s="21"/>
      <c r="I63" s="19"/>
      <c r="J63" s="19"/>
      <c r="K63" s="24"/>
    </row>
    <row r="64" spans="1:11" ht="26.25" customHeight="1" x14ac:dyDescent="0.15">
      <c r="A64" s="19"/>
      <c r="B64" s="21"/>
      <c r="C64" s="19"/>
      <c r="D64" s="19"/>
      <c r="E64" s="21"/>
      <c r="F64" s="19">
        <v>2</v>
      </c>
      <c r="G64" s="23" t="s">
        <v>88</v>
      </c>
      <c r="H64" s="21"/>
      <c r="I64" s="19"/>
      <c r="J64" s="19"/>
      <c r="K64" s="24"/>
    </row>
    <row r="65" spans="1:11" ht="39" customHeight="1" x14ac:dyDescent="0.15">
      <c r="A65" s="19"/>
      <c r="B65" s="21"/>
      <c r="C65" s="19"/>
      <c r="D65" s="19"/>
      <c r="E65" s="21"/>
      <c r="F65" s="19">
        <v>3</v>
      </c>
      <c r="G65" s="23" t="s">
        <v>89</v>
      </c>
      <c r="H65" s="21"/>
      <c r="I65" s="19"/>
      <c r="J65" s="19"/>
      <c r="K65" s="24"/>
    </row>
  </sheetData>
  <mergeCells count="16">
    <mergeCell ref="A1:K1"/>
    <mergeCell ref="A3:K3"/>
    <mergeCell ref="B4:H4"/>
    <mergeCell ref="B5:H5"/>
    <mergeCell ref="B6:H6"/>
    <mergeCell ref="I7:J7"/>
    <mergeCell ref="A10:K10"/>
    <mergeCell ref="B11:J11"/>
    <mergeCell ref="B12:J12"/>
    <mergeCell ref="B13:J13"/>
    <mergeCell ref="B19:J19"/>
    <mergeCell ref="B14:J14"/>
    <mergeCell ref="B15:J15"/>
    <mergeCell ref="B16:J16"/>
    <mergeCell ref="B17:J17"/>
    <mergeCell ref="B18:J18"/>
  </mergeCells>
  <conditionalFormatting sqref="K26:K27">
    <cfRule type="cellIs" dxfId="1" priority="2" operator="greaterThan">
      <formula>2</formula>
    </cfRule>
  </conditionalFormatting>
  <conditionalFormatting sqref="K61:K62">
    <cfRule type="cellIs" dxfId="0" priority="3" operator="greaterThan">
      <formula>2</formula>
    </cfRule>
  </conditionalFormatting>
  <pageMargins left="0.390277777777778" right="0.390277777777778" top="0.73124999999999996" bottom="0.59027777777777801" header="0.511811023622047" footer="0.2"/>
  <pageSetup paperSize="9" orientation="landscape" horizontalDpi="300" verticalDpi="300"/>
  <headerFooter>
    <oddFooter>&amp;L&amp;8 Sheet: &amp;A_x005F_x000a_File: &amp;F&amp;C&amp;8 Version: _x005F_x000a_Date: &amp;R&amp;8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topLeftCell="B1" zoomScaleNormal="100" workbookViewId="0">
      <selection activeCell="C28" sqref="C28"/>
    </sheetView>
  </sheetViews>
  <sheetFormatPr defaultColWidth="8.8984375" defaultRowHeight="12.75" x14ac:dyDescent="0.15"/>
  <cols>
    <col min="1" max="1" width="21.3046875" customWidth="1"/>
    <col min="2" max="2" width="28.72265625" customWidth="1"/>
    <col min="3" max="3" width="186.90625" customWidth="1"/>
    <col min="4" max="4" width="8.359375" customWidth="1"/>
    <col min="10" max="10" width="21.3046875" customWidth="1"/>
    <col min="14" max="14" width="64.86328125" customWidth="1"/>
  </cols>
  <sheetData>
    <row r="1" spans="2:14" ht="81" customHeight="1" x14ac:dyDescent="0.15">
      <c r="J1" s="27"/>
      <c r="K1" s="28"/>
      <c r="N1" s="39"/>
    </row>
    <row r="2" spans="2:14" ht="14.25" customHeight="1" x14ac:dyDescent="0.15">
      <c r="J2" s="29"/>
      <c r="K2" s="30"/>
      <c r="N2" s="39"/>
    </row>
    <row r="3" spans="2:14" ht="14.25" customHeight="1" x14ac:dyDescent="0.15">
      <c r="J3" s="29"/>
      <c r="K3" s="31"/>
      <c r="N3" s="39"/>
    </row>
    <row r="4" spans="2:14" ht="14.25" customHeight="1" x14ac:dyDescent="0.15">
      <c r="J4" s="29"/>
      <c r="K4" s="31"/>
      <c r="N4" s="39"/>
    </row>
    <row r="5" spans="2:14" ht="14.25" customHeight="1" x14ac:dyDescent="0.15">
      <c r="B5" t="s">
        <v>90</v>
      </c>
      <c r="C5">
        <f>COUNT('CIS Marking Scheme Import'!K22:K115)</f>
        <v>21</v>
      </c>
      <c r="J5" s="29"/>
      <c r="K5" s="31"/>
      <c r="N5" s="39"/>
    </row>
    <row r="6" spans="2:14" ht="14.25" customHeight="1" x14ac:dyDescent="0.15">
      <c r="J6" s="29"/>
      <c r="K6" s="31"/>
      <c r="N6" s="39"/>
    </row>
    <row r="7" spans="2:14" ht="14.25" customHeight="1" x14ac:dyDescent="0.15">
      <c r="J7" s="29"/>
      <c r="K7" s="31"/>
      <c r="N7" s="39"/>
    </row>
    <row r="8" spans="2:14" ht="14.25" customHeight="1" x14ac:dyDescent="0.15">
      <c r="J8" s="29"/>
      <c r="K8" s="31"/>
      <c r="N8" s="39"/>
    </row>
    <row r="9" spans="2:14" ht="14.25" customHeight="1" x14ac:dyDescent="0.15">
      <c r="J9" s="29"/>
      <c r="K9" s="32"/>
      <c r="N9" s="39"/>
    </row>
    <row r="10" spans="2:14" ht="14.25" customHeight="1" x14ac:dyDescent="0.15">
      <c r="J10" s="29"/>
      <c r="K10" s="31"/>
      <c r="N10" s="39"/>
    </row>
    <row r="11" spans="2:14" ht="14.25" customHeight="1" x14ac:dyDescent="0.15">
      <c r="J11" s="29"/>
      <c r="K11" s="31"/>
      <c r="N11" s="39"/>
    </row>
    <row r="12" spans="2:14" ht="14.25" customHeight="1" x14ac:dyDescent="0.15">
      <c r="K12" s="31"/>
      <c r="N12" s="39"/>
    </row>
    <row r="13" spans="2:14" x14ac:dyDescent="0.15">
      <c r="N13" s="39"/>
    </row>
    <row r="14" spans="2:14" x14ac:dyDescent="0.15">
      <c r="N14" s="39"/>
    </row>
    <row r="15" spans="2:14" x14ac:dyDescent="0.15">
      <c r="N15" s="39"/>
    </row>
    <row r="16" spans="2:14" x14ac:dyDescent="0.15">
      <c r="N16" s="39"/>
    </row>
    <row r="17" spans="14:14" x14ac:dyDescent="0.15">
      <c r="N17" s="39"/>
    </row>
    <row r="18" spans="14:14" x14ac:dyDescent="0.15">
      <c r="N18" s="39"/>
    </row>
    <row r="19" spans="14:14" x14ac:dyDescent="0.15">
      <c r="N19" s="39"/>
    </row>
    <row r="20" spans="14:14" x14ac:dyDescent="0.15">
      <c r="N20" s="39"/>
    </row>
    <row r="21" spans="14:14" x14ac:dyDescent="0.15">
      <c r="N21" s="39"/>
    </row>
    <row r="22" spans="14:14" x14ac:dyDescent="0.15">
      <c r="N22" s="39"/>
    </row>
    <row r="23" spans="14:14" x14ac:dyDescent="0.15">
      <c r="N23" s="39"/>
    </row>
    <row r="24" spans="14:14" x14ac:dyDescent="0.15">
      <c r="N24" s="39"/>
    </row>
  </sheetData>
  <mergeCells count="1">
    <mergeCell ref="N1:N24"/>
  </mergeCells>
  <pageMargins left="0.390277777777778" right="0.390277777777778" top="0.73124999999999996" bottom="0.59027777777777801" header="0.511811023622047" footer="0.2"/>
  <pageSetup paperSize="9" orientation="landscape" horizontalDpi="300" verticalDpi="300"/>
  <headerFooter>
    <oddFooter>&amp;L&amp;8 Sheet: &amp;A_x005F_x000a_File: &amp;F&amp;C&amp;8 Version: _x005F_x000a_Date: &amp;R&amp;8 &amp;P of &amp;N</oddFooter>
  </headerFooter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Walsh</dc:creator>
  <dc:description/>
  <cp:lastModifiedBy>Tiago Pereira Ramos</cp:lastModifiedBy>
  <cp:revision>0</cp:revision>
  <dcterms:created xsi:type="dcterms:W3CDTF">2010-04-27T04:25:00Z</dcterms:created>
  <dcterms:modified xsi:type="dcterms:W3CDTF">2026-07-03T19:13:48Z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0x010100CC94E0163ABA5C46BDFEF9575BA81040</vt:lpwstr>
  </property>
</Properties>
</file>